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4.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5.xml" ContentType="application/vnd.openxmlformats-officedocument.drawing+xml"/>
  <Override PartName="/xl/tables/table4.xml" ContentType="application/vnd.openxmlformats-officedocument.spreadsheetml.table+xml"/>
  <Override PartName="/xl/slicers/slicer4.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10" codeName="{00000000-0000-0000-0000-000000000000}"/>
  <workbookPr codeName="ThisWorkbook"/>
  <mc:AlternateContent xmlns:mc="http://schemas.openxmlformats.org/markup-compatibility/2006">
    <mc:Choice Requires="x15">
      <x15ac:absPath xmlns:x15ac="http://schemas.microsoft.com/office/spreadsheetml/2010/11/ac" url="O:\Vorming\"/>
    </mc:Choice>
  </mc:AlternateContent>
  <xr:revisionPtr revIDLastSave="0" documentId="13_ncr:1_{906C117B-1A09-4262-977F-F098B309BF45}" xr6:coauthVersionLast="47" xr6:coauthVersionMax="47" xr10:uidLastSave="{00000000-0000-0000-0000-000000000000}"/>
  <bookViews>
    <workbookView xWindow="-108" yWindow="-108" windowWidth="23256" windowHeight="12576" tabRatio="810" firstSheet="4" activeTab="4" xr2:uid="{00000000-000D-0000-FFFF-FFFF00000000}"/>
  </bookViews>
  <sheets>
    <sheet name="Persoonsgegevens" sheetId="1" r:id="rId1"/>
    <sheet name="POP 2019" sheetId="4" r:id="rId2"/>
    <sheet name="POP 2020" sheetId="14" r:id="rId3"/>
    <sheet name="POP 2021" sheetId="16" r:id="rId4"/>
    <sheet name="POP 2022" sheetId="18" r:id="rId5"/>
    <sheet name="POP 2023" sheetId="20" r:id="rId6"/>
    <sheet name="Codes" sheetId="2" state="hidden" r:id="rId7"/>
  </sheets>
  <definedNames>
    <definedName name="_xlnm._FilterDatabase" localSheetId="1" hidden="1">'POP 2019'!#REF!</definedName>
    <definedName name="_xlnm._FilterDatabase" localSheetId="2" hidden="1">'POP 2020'!#REF!</definedName>
    <definedName name="_xlnm._FilterDatabase" localSheetId="3" hidden="1">'POP 2021'!#REF!</definedName>
    <definedName name="_xlnm._FilterDatabase" localSheetId="4" hidden="1">'POP 2022'!#REF!</definedName>
    <definedName name="_xlnm._FilterDatabase" localSheetId="5" hidden="1">'POP 2023'!#REF!</definedName>
    <definedName name="actieplan2018" localSheetId="2">'POP 2020'!$B$166:$I$197</definedName>
    <definedName name="actieplan2018" localSheetId="3">'POP 2021'!$B$153:$I$185</definedName>
    <definedName name="actieplan2018" localSheetId="4">'POP 2022'!$B$166:$I$198</definedName>
    <definedName name="actieplan2018" localSheetId="5">'POP 2023'!$B$153:$I$185</definedName>
    <definedName name="actieplan2018">'POP 2019'!$B$166:$I$198</definedName>
    <definedName name="groenonderhoud" localSheetId="2">#REF!</definedName>
    <definedName name="groenonderhoud" localSheetId="3">#REF!</definedName>
    <definedName name="groenonderhoud" localSheetId="4">#REF!</definedName>
    <definedName name="groenonderhoud" localSheetId="5">#REF!</definedName>
    <definedName name="groenonderhoud">#REF!</definedName>
    <definedName name="Slicer_Kies_je_afdeling">#N/A</definedName>
    <definedName name="Slicer_Kies_je_afdeling2">#N/A</definedName>
    <definedName name="Slicer_Kies_je_afdeling211">#N/A</definedName>
    <definedName name="Slicer_Kies_je_afdeling211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1" i="18" l="1"/>
  <c r="F61" i="18"/>
  <c r="E61" i="18"/>
  <c r="E61" i="14"/>
  <c r="E156" i="14"/>
  <c r="E155" i="14"/>
  <c r="E154" i="14"/>
  <c r="E145" i="14"/>
  <c r="E146" i="14"/>
  <c r="E147" i="14"/>
  <c r="E148" i="14"/>
  <c r="E149" i="14"/>
  <c r="E150" i="14"/>
  <c r="E153" i="14"/>
  <c r="E152" i="14"/>
  <c r="E151" i="14"/>
  <c r="E156" i="18"/>
  <c r="F156" i="18"/>
  <c r="E155" i="18"/>
  <c r="F155" i="18"/>
  <c r="E154" i="18"/>
  <c r="F154" i="18"/>
  <c r="E151" i="18"/>
  <c r="E152" i="18"/>
  <c r="E153" i="18"/>
  <c r="F151" i="18"/>
  <c r="F152" i="18"/>
  <c r="F153" i="18"/>
  <c r="E148" i="18"/>
  <c r="E149" i="18"/>
  <c r="E150" i="18"/>
  <c r="F148" i="18"/>
  <c r="F149" i="18"/>
  <c r="F150" i="18"/>
  <c r="E147" i="18"/>
  <c r="F147" i="18"/>
  <c r="E146" i="18"/>
  <c r="F146" i="18"/>
  <c r="E145" i="18"/>
  <c r="F145" i="18"/>
  <c r="F61" i="16" l="1"/>
  <c r="E61" i="16"/>
  <c r="C38" i="14"/>
  <c r="H145" i="20" l="1"/>
  <c r="H146" i="20"/>
  <c r="H147" i="20"/>
  <c r="H144"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H105" i="20"/>
  <c r="H106" i="20"/>
  <c r="H107" i="20"/>
  <c r="H108" i="20"/>
  <c r="H109" i="20"/>
  <c r="H110" i="20"/>
  <c r="H111" i="20"/>
  <c r="H112" i="20"/>
  <c r="H113" i="20"/>
  <c r="H114" i="20"/>
  <c r="H115" i="20"/>
  <c r="H116" i="20"/>
  <c r="H117" i="20"/>
  <c r="H118" i="20"/>
  <c r="H119" i="20"/>
  <c r="H120" i="20"/>
  <c r="H121" i="20"/>
  <c r="H122" i="20"/>
  <c r="H123" i="20"/>
  <c r="H124" i="20"/>
  <c r="H125" i="20"/>
  <c r="H126" i="20"/>
  <c r="H127" i="20"/>
  <c r="H128" i="20"/>
  <c r="H129" i="20"/>
  <c r="H130" i="20"/>
  <c r="H131" i="20"/>
  <c r="H132" i="20"/>
  <c r="H133" i="20"/>
  <c r="H134" i="20"/>
  <c r="H135" i="20"/>
  <c r="H136" i="20"/>
  <c r="H137" i="20"/>
  <c r="H138" i="20"/>
  <c r="H139" i="20"/>
  <c r="H140" i="20"/>
  <c r="H141" i="20"/>
  <c r="H142" i="20"/>
  <c r="H143" i="20"/>
  <c r="H53" i="20"/>
  <c r="H54" i="20"/>
  <c r="H55" i="20"/>
  <c r="H56" i="20"/>
  <c r="H57" i="20"/>
  <c r="H58" i="20"/>
  <c r="H59" i="20"/>
  <c r="H60" i="20"/>
  <c r="H52" i="20"/>
  <c r="G185" i="20"/>
  <c r="B185" i="20"/>
  <c r="G184" i="20"/>
  <c r="B184" i="20"/>
  <c r="G183" i="20"/>
  <c r="B183" i="20"/>
  <c r="G182" i="20"/>
  <c r="B182" i="20"/>
  <c r="G181" i="20"/>
  <c r="B181" i="20"/>
  <c r="G180" i="20"/>
  <c r="B180" i="20"/>
  <c r="G174" i="20"/>
  <c r="B174" i="20"/>
  <c r="G173" i="20"/>
  <c r="B173" i="20"/>
  <c r="G172" i="20"/>
  <c r="B172" i="20"/>
  <c r="G171" i="20"/>
  <c r="B171" i="20"/>
  <c r="G170" i="20"/>
  <c r="B170" i="20"/>
  <c r="G169" i="20"/>
  <c r="B169" i="20"/>
  <c r="G147" i="20"/>
  <c r="F147" i="20"/>
  <c r="E147" i="20"/>
  <c r="G146" i="20"/>
  <c r="F146" i="20"/>
  <c r="E146" i="20"/>
  <c r="G145" i="20"/>
  <c r="F145" i="20"/>
  <c r="E145" i="20"/>
  <c r="G144" i="20"/>
  <c r="F144" i="20"/>
  <c r="E144" i="20"/>
  <c r="G143" i="20"/>
  <c r="F143" i="20"/>
  <c r="E143" i="20"/>
  <c r="G142" i="20"/>
  <c r="F142" i="20"/>
  <c r="E142" i="20"/>
  <c r="G141" i="20"/>
  <c r="F141" i="20"/>
  <c r="E141" i="20"/>
  <c r="G140" i="20"/>
  <c r="F140" i="20"/>
  <c r="E140" i="20"/>
  <c r="G139" i="20"/>
  <c r="F139" i="20"/>
  <c r="E139" i="20"/>
  <c r="G138" i="20"/>
  <c r="F138" i="20"/>
  <c r="E138" i="20"/>
  <c r="G137" i="20"/>
  <c r="F137" i="20"/>
  <c r="E137" i="20"/>
  <c r="G136" i="20"/>
  <c r="F136" i="20"/>
  <c r="E136" i="20"/>
  <c r="G135" i="20"/>
  <c r="F135" i="20"/>
  <c r="E135" i="20"/>
  <c r="G134" i="20"/>
  <c r="F134" i="20"/>
  <c r="E134" i="20"/>
  <c r="G133" i="20"/>
  <c r="F133" i="20"/>
  <c r="E133" i="20"/>
  <c r="G132" i="20"/>
  <c r="F132" i="20"/>
  <c r="E132" i="20"/>
  <c r="G131" i="20"/>
  <c r="F131" i="20"/>
  <c r="E131" i="20"/>
  <c r="G130" i="20"/>
  <c r="F130" i="20"/>
  <c r="E130" i="20"/>
  <c r="G129" i="20"/>
  <c r="F129" i="20"/>
  <c r="E129" i="20"/>
  <c r="G128" i="20"/>
  <c r="F128" i="20"/>
  <c r="E128" i="20"/>
  <c r="G127" i="20"/>
  <c r="F127" i="20"/>
  <c r="E127" i="20"/>
  <c r="G126" i="20"/>
  <c r="F126" i="20"/>
  <c r="E126" i="20"/>
  <c r="G125" i="20"/>
  <c r="F125" i="20"/>
  <c r="E125" i="20"/>
  <c r="G124" i="20"/>
  <c r="F124" i="20"/>
  <c r="E124" i="20"/>
  <c r="G123" i="20"/>
  <c r="F123" i="20"/>
  <c r="E123" i="20"/>
  <c r="G122" i="20"/>
  <c r="F122" i="20"/>
  <c r="E122" i="20"/>
  <c r="G121" i="20"/>
  <c r="F121" i="20"/>
  <c r="E121" i="20"/>
  <c r="G120" i="20"/>
  <c r="F120" i="20"/>
  <c r="E120" i="20"/>
  <c r="G119" i="20"/>
  <c r="F119" i="20"/>
  <c r="E119" i="20"/>
  <c r="G118" i="20"/>
  <c r="F118" i="20"/>
  <c r="E118" i="20"/>
  <c r="G117" i="20"/>
  <c r="F117" i="20"/>
  <c r="E117" i="20"/>
  <c r="G116" i="20"/>
  <c r="F116" i="20"/>
  <c r="E116" i="20"/>
  <c r="G115" i="20"/>
  <c r="F115" i="20"/>
  <c r="E115" i="20"/>
  <c r="G114" i="20"/>
  <c r="F114" i="20"/>
  <c r="E114" i="20"/>
  <c r="G113" i="20"/>
  <c r="F113" i="20"/>
  <c r="E113" i="20"/>
  <c r="G112" i="20"/>
  <c r="F112" i="20"/>
  <c r="E112" i="20"/>
  <c r="G111" i="20"/>
  <c r="F111" i="20"/>
  <c r="E111" i="20"/>
  <c r="G110" i="20"/>
  <c r="F110" i="20"/>
  <c r="E110" i="20"/>
  <c r="G109" i="20"/>
  <c r="F109" i="20"/>
  <c r="E109" i="20"/>
  <c r="G108" i="20"/>
  <c r="F108" i="20"/>
  <c r="E108" i="20"/>
  <c r="G107" i="20"/>
  <c r="F107" i="20"/>
  <c r="E107" i="20"/>
  <c r="G106" i="20"/>
  <c r="F106" i="20"/>
  <c r="E106" i="20"/>
  <c r="G105" i="20"/>
  <c r="F105" i="20"/>
  <c r="E105" i="20"/>
  <c r="G104" i="20"/>
  <c r="F104" i="20"/>
  <c r="E104" i="20"/>
  <c r="G103" i="20"/>
  <c r="F103" i="20"/>
  <c r="E103" i="20"/>
  <c r="G102" i="20"/>
  <c r="F102" i="20"/>
  <c r="E102" i="20"/>
  <c r="G101" i="20"/>
  <c r="F101" i="20"/>
  <c r="E101" i="20"/>
  <c r="G100" i="20"/>
  <c r="F100" i="20"/>
  <c r="E100" i="20"/>
  <c r="G99" i="20"/>
  <c r="F99" i="20"/>
  <c r="E99" i="20"/>
  <c r="G98" i="20"/>
  <c r="F98" i="20"/>
  <c r="E98" i="20"/>
  <c r="G97" i="20"/>
  <c r="F97" i="20"/>
  <c r="E97" i="20"/>
  <c r="G96" i="20"/>
  <c r="F96" i="20"/>
  <c r="E96" i="20"/>
  <c r="G95" i="20"/>
  <c r="F95" i="20"/>
  <c r="E95" i="20"/>
  <c r="G94" i="20"/>
  <c r="F94" i="20"/>
  <c r="E94" i="20"/>
  <c r="G93" i="20"/>
  <c r="F93" i="20"/>
  <c r="E93" i="20"/>
  <c r="G92" i="20"/>
  <c r="F92" i="20"/>
  <c r="E92" i="20"/>
  <c r="G91" i="20"/>
  <c r="F91" i="20"/>
  <c r="E91" i="20"/>
  <c r="G90" i="20"/>
  <c r="F90" i="20"/>
  <c r="E90" i="20"/>
  <c r="G89" i="20"/>
  <c r="F89" i="20"/>
  <c r="E89" i="20"/>
  <c r="G88" i="20"/>
  <c r="F88" i="20"/>
  <c r="E88" i="20"/>
  <c r="G87" i="20"/>
  <c r="F87" i="20"/>
  <c r="E87" i="20"/>
  <c r="G86" i="20"/>
  <c r="F86" i="20"/>
  <c r="E86" i="20"/>
  <c r="G85" i="20"/>
  <c r="F85" i="20"/>
  <c r="E85" i="20"/>
  <c r="G84" i="20"/>
  <c r="F84" i="20"/>
  <c r="E84" i="20"/>
  <c r="G83" i="20"/>
  <c r="F83" i="20"/>
  <c r="E83" i="20"/>
  <c r="G82" i="20"/>
  <c r="F82" i="20"/>
  <c r="E82" i="20"/>
  <c r="G81" i="20"/>
  <c r="F81" i="20"/>
  <c r="E81" i="20"/>
  <c r="G80" i="20"/>
  <c r="F80" i="20"/>
  <c r="E80" i="20"/>
  <c r="G79" i="20"/>
  <c r="F79" i="20"/>
  <c r="E79" i="20"/>
  <c r="G78" i="20"/>
  <c r="F78" i="20"/>
  <c r="E78" i="20"/>
  <c r="G77" i="20"/>
  <c r="F77" i="20"/>
  <c r="E77"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C7" i="20"/>
  <c r="C6" i="20"/>
  <c r="G158" i="18"/>
  <c r="G159" i="18"/>
  <c r="G160" i="18"/>
  <c r="G157" i="18"/>
  <c r="G78" i="18"/>
  <c r="G79" i="18"/>
  <c r="G80" i="18"/>
  <c r="G81" i="18"/>
  <c r="G82" i="18"/>
  <c r="G83" i="18"/>
  <c r="G84" i="18"/>
  <c r="G85" i="18"/>
  <c r="G86" i="18"/>
  <c r="G87" i="18"/>
  <c r="G88" i="18"/>
  <c r="G89" i="18"/>
  <c r="G90" i="18"/>
  <c r="G91" i="18"/>
  <c r="G92" i="18"/>
  <c r="G93" i="18"/>
  <c r="G94" i="18"/>
  <c r="G95" i="18"/>
  <c r="G96" i="18"/>
  <c r="G97" i="18"/>
  <c r="G98" i="18"/>
  <c r="G99" i="18"/>
  <c r="G100" i="18"/>
  <c r="G101" i="18"/>
  <c r="G102" i="18"/>
  <c r="G103" i="18"/>
  <c r="G104" i="18"/>
  <c r="G105" i="18"/>
  <c r="G106" i="18"/>
  <c r="G107" i="18"/>
  <c r="G108" i="18"/>
  <c r="G109" i="18"/>
  <c r="G110" i="18"/>
  <c r="G111" i="18"/>
  <c r="G112" i="18"/>
  <c r="G113" i="18"/>
  <c r="G114" i="18"/>
  <c r="G115" i="18"/>
  <c r="G116" i="18"/>
  <c r="G117" i="18"/>
  <c r="G118" i="18"/>
  <c r="G119" i="18"/>
  <c r="G120" i="18"/>
  <c r="G121" i="18"/>
  <c r="G122" i="18"/>
  <c r="G123" i="18"/>
  <c r="G124" i="18"/>
  <c r="G125" i="18"/>
  <c r="G126" i="18"/>
  <c r="G127" i="18"/>
  <c r="G128" i="18"/>
  <c r="G129" i="18"/>
  <c r="G130" i="18"/>
  <c r="G131" i="18"/>
  <c r="G132" i="18"/>
  <c r="G133" i="18"/>
  <c r="G134" i="18"/>
  <c r="G135" i="18"/>
  <c r="G136" i="18"/>
  <c r="G137" i="18"/>
  <c r="G138" i="18"/>
  <c r="G139" i="18"/>
  <c r="G140" i="18"/>
  <c r="G141" i="18"/>
  <c r="G142" i="18"/>
  <c r="G143" i="18"/>
  <c r="G144" i="18"/>
  <c r="G53" i="18"/>
  <c r="G54" i="18"/>
  <c r="G55" i="18"/>
  <c r="G56" i="18"/>
  <c r="G57" i="18"/>
  <c r="G58" i="18"/>
  <c r="G59" i="18"/>
  <c r="G60" i="18"/>
  <c r="G52" i="18"/>
  <c r="G198" i="18"/>
  <c r="B198" i="18"/>
  <c r="G197" i="18"/>
  <c r="B197" i="18"/>
  <c r="G196" i="18"/>
  <c r="B196" i="18"/>
  <c r="G195" i="18"/>
  <c r="B195" i="18"/>
  <c r="G194" i="18"/>
  <c r="B194" i="18"/>
  <c r="G193" i="18"/>
  <c r="B193" i="18"/>
  <c r="G187" i="18"/>
  <c r="B187" i="18"/>
  <c r="G186" i="18"/>
  <c r="B186" i="18"/>
  <c r="G185" i="18"/>
  <c r="B185" i="18"/>
  <c r="G184" i="18"/>
  <c r="B184" i="18"/>
  <c r="G183" i="18"/>
  <c r="B183" i="18"/>
  <c r="G182" i="18"/>
  <c r="B182" i="18"/>
  <c r="F160" i="18"/>
  <c r="E160" i="18"/>
  <c r="F159" i="18"/>
  <c r="E159" i="18"/>
  <c r="F158" i="18"/>
  <c r="E158" i="18"/>
  <c r="F157" i="18"/>
  <c r="E157" i="18"/>
  <c r="F144" i="18"/>
  <c r="E144" i="18"/>
  <c r="F143" i="18"/>
  <c r="E143" i="18"/>
  <c r="F142" i="18"/>
  <c r="E142" i="18"/>
  <c r="F141" i="18"/>
  <c r="E141" i="18"/>
  <c r="F140" i="18"/>
  <c r="E140" i="18"/>
  <c r="F139" i="18"/>
  <c r="E139" i="18"/>
  <c r="F138" i="18"/>
  <c r="E138" i="18"/>
  <c r="F137" i="18"/>
  <c r="E137" i="18"/>
  <c r="F136" i="18"/>
  <c r="E136" i="18"/>
  <c r="F135" i="18"/>
  <c r="E135" i="18"/>
  <c r="F134" i="18"/>
  <c r="E134" i="18"/>
  <c r="F133" i="18"/>
  <c r="E133" i="18"/>
  <c r="F132" i="18"/>
  <c r="E132" i="18"/>
  <c r="F131" i="18"/>
  <c r="E131" i="18"/>
  <c r="F130" i="18"/>
  <c r="E130" i="18"/>
  <c r="F129" i="18"/>
  <c r="E129" i="18"/>
  <c r="F128" i="18"/>
  <c r="E128" i="18"/>
  <c r="F127" i="18"/>
  <c r="E127" i="18"/>
  <c r="F126" i="18"/>
  <c r="E126" i="18"/>
  <c r="F125" i="18"/>
  <c r="E125" i="18"/>
  <c r="F124" i="18"/>
  <c r="E124" i="18"/>
  <c r="F123" i="18"/>
  <c r="E123" i="18"/>
  <c r="F122" i="18"/>
  <c r="E122" i="18"/>
  <c r="F121" i="18"/>
  <c r="E121" i="18"/>
  <c r="F120" i="18"/>
  <c r="E120" i="18"/>
  <c r="F119" i="18"/>
  <c r="E119" i="18"/>
  <c r="F118" i="18"/>
  <c r="E118" i="18"/>
  <c r="F117" i="18"/>
  <c r="E117" i="18"/>
  <c r="F116" i="18"/>
  <c r="E116" i="18"/>
  <c r="F115" i="18"/>
  <c r="E115" i="18"/>
  <c r="F114" i="18"/>
  <c r="E114" i="18"/>
  <c r="F113" i="18"/>
  <c r="E113" i="18"/>
  <c r="F112" i="18"/>
  <c r="E112" i="18"/>
  <c r="F111" i="18"/>
  <c r="E111" i="18"/>
  <c r="F110" i="18"/>
  <c r="E110" i="18"/>
  <c r="F109" i="18"/>
  <c r="E109" i="18"/>
  <c r="F108" i="18"/>
  <c r="E108" i="18"/>
  <c r="F107" i="18"/>
  <c r="E107" i="18"/>
  <c r="F106" i="18"/>
  <c r="E106" i="18"/>
  <c r="F105" i="18"/>
  <c r="E105" i="18"/>
  <c r="F104" i="18"/>
  <c r="E104" i="18"/>
  <c r="F103" i="18"/>
  <c r="E103" i="18"/>
  <c r="F102" i="18"/>
  <c r="E102" i="18"/>
  <c r="F101" i="18"/>
  <c r="E101" i="18"/>
  <c r="F100" i="18"/>
  <c r="E100" i="18"/>
  <c r="F99" i="18"/>
  <c r="E99" i="18"/>
  <c r="F98" i="18"/>
  <c r="E98" i="18"/>
  <c r="F97" i="18"/>
  <c r="E97" i="18"/>
  <c r="F96" i="18"/>
  <c r="E96" i="18"/>
  <c r="F95" i="18"/>
  <c r="E95" i="18"/>
  <c r="F94" i="18"/>
  <c r="E94" i="18"/>
  <c r="F93" i="18"/>
  <c r="E93" i="18"/>
  <c r="F92" i="18"/>
  <c r="E92" i="18"/>
  <c r="F91" i="18"/>
  <c r="E91" i="18"/>
  <c r="F90" i="18"/>
  <c r="E90" i="18"/>
  <c r="F89" i="18"/>
  <c r="E89" i="18"/>
  <c r="F88" i="18"/>
  <c r="E88" i="18"/>
  <c r="F87" i="18"/>
  <c r="E87" i="18"/>
  <c r="F86" i="18"/>
  <c r="E86" i="18"/>
  <c r="F85" i="18"/>
  <c r="E85" i="18"/>
  <c r="F84" i="18"/>
  <c r="E84" i="18"/>
  <c r="F83" i="18"/>
  <c r="E83" i="18"/>
  <c r="F82" i="18"/>
  <c r="E82" i="18"/>
  <c r="F81" i="18"/>
  <c r="E81" i="18"/>
  <c r="F80" i="18"/>
  <c r="E80" i="18"/>
  <c r="F79" i="18"/>
  <c r="E79" i="18"/>
  <c r="F78" i="18"/>
  <c r="E78" i="18"/>
  <c r="F60" i="18"/>
  <c r="E60" i="18"/>
  <c r="F59" i="18"/>
  <c r="E59" i="18"/>
  <c r="F58" i="18"/>
  <c r="E58" i="18"/>
  <c r="F57" i="18"/>
  <c r="E57" i="18"/>
  <c r="F56" i="18"/>
  <c r="E56" i="18"/>
  <c r="F55" i="18"/>
  <c r="E55" i="18"/>
  <c r="F54" i="18"/>
  <c r="E54" i="18"/>
  <c r="F53" i="18"/>
  <c r="E53" i="18"/>
  <c r="F52" i="18"/>
  <c r="E52" i="18"/>
  <c r="F145" i="16"/>
  <c r="F146" i="16"/>
  <c r="F147" i="16"/>
  <c r="F144"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137" i="16"/>
  <c r="F138" i="16"/>
  <c r="F139" i="16"/>
  <c r="F140" i="16"/>
  <c r="F141" i="16"/>
  <c r="F142" i="16"/>
  <c r="F143" i="16"/>
  <c r="F53" i="16"/>
  <c r="F54" i="16"/>
  <c r="F55" i="16"/>
  <c r="F56" i="16"/>
  <c r="F57" i="16"/>
  <c r="F58" i="16"/>
  <c r="F59" i="16"/>
  <c r="F60" i="16"/>
  <c r="F52" i="16"/>
  <c r="G185" i="16"/>
  <c r="B185" i="16"/>
  <c r="G184" i="16"/>
  <c r="B184" i="16"/>
  <c r="G183" i="16"/>
  <c r="B183" i="16"/>
  <c r="G182" i="16"/>
  <c r="B182" i="16"/>
  <c r="G181" i="16"/>
  <c r="B181" i="16"/>
  <c r="G180" i="16"/>
  <c r="B180" i="16"/>
  <c r="G174" i="16"/>
  <c r="B174" i="16"/>
  <c r="G173" i="16"/>
  <c r="B173" i="16"/>
  <c r="G172" i="16"/>
  <c r="B172" i="16"/>
  <c r="G171" i="16"/>
  <c r="B171" i="16"/>
  <c r="G170" i="16"/>
  <c r="B170" i="16"/>
  <c r="G169" i="16"/>
  <c r="B169" i="16"/>
  <c r="E147" i="16"/>
  <c r="E146" i="16"/>
  <c r="E145" i="16"/>
  <c r="E144" i="16"/>
  <c r="E143" i="16"/>
  <c r="E142" i="16"/>
  <c r="E141" i="16"/>
  <c r="E140" i="16"/>
  <c r="E139" i="16"/>
  <c r="E138" i="16"/>
  <c r="E137" i="16"/>
  <c r="E136" i="16"/>
  <c r="E135" i="16"/>
  <c r="E134" i="16"/>
  <c r="E133" i="16"/>
  <c r="E132" i="16"/>
  <c r="E131" i="16"/>
  <c r="E130" i="16"/>
  <c r="E129" i="16"/>
  <c r="E128" i="16"/>
  <c r="E127" i="16"/>
  <c r="E126" i="16"/>
  <c r="E125" i="16"/>
  <c r="E124" i="16"/>
  <c r="E123" i="16"/>
  <c r="E122" i="16"/>
  <c r="E121" i="16"/>
  <c r="E120" i="16"/>
  <c r="E119" i="16"/>
  <c r="E118" i="16"/>
  <c r="E117" i="16"/>
  <c r="E116" i="16"/>
  <c r="E115" i="16"/>
  <c r="E114" i="16"/>
  <c r="E113" i="16"/>
  <c r="E112" i="16"/>
  <c r="E111" i="16"/>
  <c r="E110" i="16"/>
  <c r="E109" i="16"/>
  <c r="E108" i="16"/>
  <c r="E107" i="16"/>
  <c r="E106" i="16"/>
  <c r="E105" i="16"/>
  <c r="E104" i="16"/>
  <c r="E103" i="16"/>
  <c r="E102" i="16"/>
  <c r="E101" i="16"/>
  <c r="E100" i="16"/>
  <c r="E99" i="16"/>
  <c r="E98" i="16"/>
  <c r="E97" i="16"/>
  <c r="E96" i="16"/>
  <c r="E95" i="16"/>
  <c r="E94" i="16"/>
  <c r="E93" i="16"/>
  <c r="E92" i="16"/>
  <c r="E91" i="16"/>
  <c r="E90" i="16"/>
  <c r="E89" i="16"/>
  <c r="E88" i="16"/>
  <c r="E87" i="16"/>
  <c r="E86" i="16"/>
  <c r="E85" i="16"/>
  <c r="E84" i="16"/>
  <c r="E83" i="16"/>
  <c r="E82" i="16"/>
  <c r="E81" i="16"/>
  <c r="E80" i="16"/>
  <c r="E79" i="16"/>
  <c r="E78" i="16"/>
  <c r="E77" i="16"/>
  <c r="E60" i="16"/>
  <c r="E59" i="16"/>
  <c r="E58" i="16"/>
  <c r="E57" i="16"/>
  <c r="E56" i="16"/>
  <c r="E55" i="16"/>
  <c r="E54" i="16"/>
  <c r="E53" i="16"/>
  <c r="E52" i="16"/>
  <c r="C8" i="16"/>
  <c r="C7" i="16"/>
  <c r="C6" i="16"/>
  <c r="E160" i="14"/>
  <c r="E158" i="14"/>
  <c r="E159" i="14"/>
  <c r="E15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53" i="14"/>
  <c r="E54" i="14"/>
  <c r="E55" i="14"/>
  <c r="E56" i="14"/>
  <c r="E57" i="14"/>
  <c r="E58" i="14"/>
  <c r="E59" i="14"/>
  <c r="E60" i="14"/>
  <c r="E52" i="14"/>
  <c r="C44" i="14"/>
  <c r="C44" i="16" s="1"/>
  <c r="C44" i="18" s="1"/>
  <c r="C44" i="20" s="1"/>
  <c r="C45" i="14"/>
  <c r="C45" i="16" s="1"/>
  <c r="C45" i="18" s="1"/>
  <c r="C45" i="20" s="1"/>
  <c r="C46" i="14"/>
  <c r="C46" i="16" s="1"/>
  <c r="C46" i="18" s="1"/>
  <c r="C46" i="20" s="1"/>
  <c r="C47" i="14"/>
  <c r="C47" i="16" s="1"/>
  <c r="C47" i="18" s="1"/>
  <c r="C47" i="20" s="1"/>
  <c r="C43" i="14"/>
  <c r="C43" i="16" s="1"/>
  <c r="C43" i="18" s="1"/>
  <c r="C43" i="20" s="1"/>
  <c r="C39" i="14"/>
  <c r="C39" i="16" s="1"/>
  <c r="C39" i="18" s="1"/>
  <c r="C39" i="20" s="1"/>
  <c r="C40" i="14"/>
  <c r="C40" i="16" s="1"/>
  <c r="C40" i="18" s="1"/>
  <c r="C40" i="20" s="1"/>
  <c r="C38" i="16"/>
  <c r="C38" i="18" s="1"/>
  <c r="C38" i="20" s="1"/>
  <c r="C34" i="14"/>
  <c r="C34" i="16" s="1"/>
  <c r="C34" i="18" s="1"/>
  <c r="C34" i="20" s="1"/>
  <c r="C35" i="14"/>
  <c r="C35" i="16" s="1"/>
  <c r="C35" i="18" s="1"/>
  <c r="C35" i="20" s="1"/>
  <c r="C33" i="14"/>
  <c r="C33" i="16" s="1"/>
  <c r="C33" i="18" s="1"/>
  <c r="C33" i="20" s="1"/>
  <c r="C30" i="14"/>
  <c r="C30" i="16" s="1"/>
  <c r="C30" i="20" s="1"/>
  <c r="C29" i="14"/>
  <c r="C29" i="16" s="1"/>
  <c r="C29" i="20" s="1"/>
  <c r="C19" i="14"/>
  <c r="C19" i="16" s="1"/>
  <c r="C19" i="18" s="1"/>
  <c r="C19" i="20" s="1"/>
  <c r="C20" i="14"/>
  <c r="C20" i="16" s="1"/>
  <c r="C20" i="18" s="1"/>
  <c r="C20" i="20" s="1"/>
  <c r="C21" i="14"/>
  <c r="C21" i="16" s="1"/>
  <c r="C21" i="18" s="1"/>
  <c r="C21" i="20" s="1"/>
  <c r="C22" i="14"/>
  <c r="C22" i="16" s="1"/>
  <c r="C22" i="18" s="1"/>
  <c r="C22" i="20" s="1"/>
  <c r="C23" i="14"/>
  <c r="C23" i="16" s="1"/>
  <c r="C23" i="18" s="1"/>
  <c r="C23" i="20" s="1"/>
  <c r="C24" i="14"/>
  <c r="C24" i="16" s="1"/>
  <c r="C24" i="18" s="1"/>
  <c r="C24" i="20" s="1"/>
  <c r="C25" i="14"/>
  <c r="C25" i="16" s="1"/>
  <c r="C25" i="18" s="1"/>
  <c r="C25" i="20" s="1"/>
  <c r="C26" i="14"/>
  <c r="C26" i="16" s="1"/>
  <c r="C26" i="18" s="1"/>
  <c r="C26" i="20" s="1"/>
  <c r="C18" i="14"/>
  <c r="C18" i="16" s="1"/>
  <c r="C18" i="18" s="1"/>
  <c r="C18" i="20" s="1"/>
  <c r="C14" i="14"/>
  <c r="C14" i="16" s="1"/>
  <c r="C14" i="18" s="1"/>
  <c r="C14" i="20" s="1"/>
  <c r="C15" i="14"/>
  <c r="C15" i="16" s="1"/>
  <c r="C15" i="18" s="1"/>
  <c r="C15" i="20" s="1"/>
  <c r="C13" i="14"/>
  <c r="C13" i="16" s="1"/>
  <c r="C13" i="18" s="1"/>
  <c r="C13" i="20" s="1"/>
  <c r="G197" i="14"/>
  <c r="B197" i="14"/>
  <c r="G196" i="14"/>
  <c r="B196" i="14"/>
  <c r="G195" i="14"/>
  <c r="B195" i="14"/>
  <c r="G194" i="14"/>
  <c r="B194" i="14"/>
  <c r="G192" i="14"/>
  <c r="B192" i="14"/>
  <c r="G186" i="14"/>
  <c r="B186" i="14"/>
  <c r="G185" i="14"/>
  <c r="B185" i="14"/>
  <c r="G183" i="14"/>
  <c r="B183" i="14"/>
  <c r="G182" i="14"/>
  <c r="G193" i="14" s="1"/>
  <c r="B182" i="14"/>
  <c r="B193" i="14" s="1"/>
  <c r="G181" i="14"/>
  <c r="B181" i="14"/>
  <c r="C8" i="14"/>
  <c r="C7" i="14"/>
  <c r="C6" i="14"/>
  <c r="G187" i="4"/>
  <c r="G186" i="4"/>
  <c r="G183" i="4"/>
  <c r="G184" i="4"/>
  <c r="G185" i="4"/>
  <c r="G182" i="4"/>
  <c r="B187" i="4"/>
  <c r="B186" i="4"/>
  <c r="B183" i="4"/>
  <c r="B184" i="4"/>
  <c r="B185" i="4"/>
  <c r="B182" i="4"/>
  <c r="G198" i="4" l="1"/>
  <c r="B198" i="4"/>
  <c r="G197" i="4"/>
  <c r="B197" i="4"/>
  <c r="G196" i="4"/>
  <c r="B196" i="4"/>
  <c r="G195" i="4"/>
  <c r="B195" i="4"/>
  <c r="G194" i="4"/>
  <c r="B194" i="4"/>
  <c r="G193" i="4"/>
  <c r="B193" i="4"/>
  <c r="C7" i="4" l="1"/>
  <c r="C8" i="4" l="1"/>
  <c r="C6" i="4"/>
</calcChain>
</file>

<file path=xl/sharedStrings.xml><?xml version="1.0" encoding="utf-8"?>
<sst xmlns="http://schemas.openxmlformats.org/spreadsheetml/2006/main" count="1714" uniqueCount="297">
  <si>
    <t>Persoonsgegevens</t>
  </si>
  <si>
    <t>Voor- en achternaam:</t>
  </si>
  <si>
    <t>Adres:</t>
  </si>
  <si>
    <t>Gsm / tel:</t>
  </si>
  <si>
    <t>E-mailadres:</t>
  </si>
  <si>
    <t>Rijksregisternummer:</t>
  </si>
  <si>
    <t>Werkgegevens</t>
  </si>
  <si>
    <t>Algemene gegevens</t>
  </si>
  <si>
    <t>Datum in dienst</t>
  </si>
  <si>
    <t>Nationaliteit</t>
  </si>
  <si>
    <t>Afdeling</t>
  </si>
  <si>
    <t>Geboorteplaats</t>
  </si>
  <si>
    <t>Contract</t>
  </si>
  <si>
    <t>Geboortedatum</t>
  </si>
  <si>
    <t>Looptijd contract</t>
  </si>
  <si>
    <t>Mutualiteit</t>
  </si>
  <si>
    <t>Wervloerbegeleider</t>
  </si>
  <si>
    <t>Uitbetalingsinstelling</t>
  </si>
  <si>
    <t>Verplaatsing naar het werk</t>
  </si>
  <si>
    <t>Rijbewijs</t>
  </si>
  <si>
    <t>Contactgegevens andere hulpverleners</t>
  </si>
  <si>
    <t>Wie verwittigen bij nood?</t>
  </si>
  <si>
    <t>GTB-VDAB</t>
  </si>
  <si>
    <t>Naam</t>
  </si>
  <si>
    <t>OCMW</t>
  </si>
  <si>
    <t>Telefoonnummer</t>
  </si>
  <si>
    <t>Begeleid wonen</t>
  </si>
  <si>
    <t>Andere</t>
  </si>
  <si>
    <t>Fase POP-proces</t>
  </si>
  <si>
    <t>Datum</t>
  </si>
  <si>
    <t>Planning</t>
  </si>
  <si>
    <t>Opvolging 1</t>
  </si>
  <si>
    <t>Opvolging 2</t>
  </si>
  <si>
    <t>Afdeling:</t>
  </si>
  <si>
    <t>Werkvloerbegeleider</t>
  </si>
  <si>
    <t>WIE BEN IK?</t>
  </si>
  <si>
    <t>Netwerk</t>
  </si>
  <si>
    <t>Familiegeschiedenis</t>
  </si>
  <si>
    <t>Huidige gezinssituatie</t>
  </si>
  <si>
    <t>Steunfiguren
Wie is voor jou belangrijk?
Wie steunt jou op gebied van werk?</t>
  </si>
  <si>
    <t>Mijn leven</t>
  </si>
  <si>
    <t>Belangrijke levensgebeurtenissen</t>
  </si>
  <si>
    <t>Interesses
Wat doe je graag? Wat doe je met passie?</t>
  </si>
  <si>
    <t>Wat doe je niet graag?
Wat heb je niet graag?</t>
  </si>
  <si>
    <t>Wat is voor jou belangrijk?</t>
  </si>
  <si>
    <t>Religie/overtuiging</t>
  </si>
  <si>
    <t>Omschrijf jezelf in 3 woorden</t>
  </si>
  <si>
    <t>Kan je 2 sterke kanten van jezelf benoemen? Geef een concreet voorbeeld</t>
  </si>
  <si>
    <t>School? Studies? Diploma's ? Opleidingen?</t>
  </si>
  <si>
    <t>Werkervaringen</t>
  </si>
  <si>
    <t>Gezondheid/welzijn</t>
  </si>
  <si>
    <t>Lichamelijke gezondheid
Neem je medicatie?
Scoor jezelf op een schaal van 10</t>
  </si>
  <si>
    <t>Psychische gezondheid
Scoor jezelf op een schaal van 10</t>
  </si>
  <si>
    <t>Materiële/financiële situatie</t>
  </si>
  <si>
    <t>Huidige woonsituatie</t>
  </si>
  <si>
    <t>Financiële situatie</t>
  </si>
  <si>
    <t>Begeleiding op deze vlakken?</t>
  </si>
  <si>
    <t>Reden aanmelding</t>
  </si>
  <si>
    <t>Waarom wil je in dit maatwerkbedrijf komen werken (motivatie)?</t>
  </si>
  <si>
    <t xml:space="preserve">Welke problemen ervaar je in het gewone arbeidscircuit ? Wat zijn de oorzaken hiervan ? </t>
  </si>
  <si>
    <t>Zette je in het verleden reeds stappen om aan deze problemen te werken? Indien ja, wat deed je dan al?</t>
  </si>
  <si>
    <t>WAT WIL IK?</t>
  </si>
  <si>
    <t>Hoe zie je jouw toekomst? (op privé en werkgebied)</t>
  </si>
  <si>
    <t>Wat wil je leren bij De Sprong ?
Waar wil je sterker in worden?</t>
  </si>
  <si>
    <t>Hoe ziet jouw ideale werkdag er uit?</t>
  </si>
  <si>
    <t>Wat is jouw droomjob ? En waarom?
In welke sector wil je werken?</t>
  </si>
  <si>
    <t>Naar welke soort job ben je op zoek? Randvoorwaarden</t>
  </si>
  <si>
    <t>KWALITEITEN &amp; ONTWIKKELPUNTEN</t>
  </si>
  <si>
    <t>* slecht - minder goed - middelmatig - goed - zeer goed</t>
  </si>
  <si>
    <t>Score</t>
  </si>
  <si>
    <t>Generieke competenties</t>
  </si>
  <si>
    <t>Indicatoren</t>
  </si>
  <si>
    <t>Discipline</t>
  </si>
  <si>
    <t>-Volgt de algemene regels van de Sprong (o.a.komt tijdig op de werkvloer, respecteert de pauzes, gaat correct om met afwezigheden, enz.)
-Aanvaardt instructies en voert deze uit
-Kan luisteren naar instructies die gegeven worden</t>
  </si>
  <si>
    <t>Samenwerken</t>
  </si>
  <si>
    <t>-Kan een opdracht samen tot een goed einde brengen
-Deelt info en ervaringen met anderen
-Houdt rekening met collega's en het gezamenlijk resultaat</t>
  </si>
  <si>
    <t>Plannen en organiseren</t>
  </si>
  <si>
    <t>-Kan een taak of opdracht structureren
-Kan prioriteiten leggen in de uitvoering van meerdere taken en houdt rekening met de timing van het werk
- Werkt aan het gevraagde tempo</t>
  </si>
  <si>
    <t>Kwaliteitsgerichtheid</t>
  </si>
  <si>
    <t>-Controleert het eigen werk op fouten
-Houdt zich aan afgesproken normen en verwachtingen betreft detail en afwerking
-Maakt weinig fouten en stuurt bij indien nodig
-Rondt eerst zaken af alvorens aan een nieuwe taak te beginnen
-Neemt spontaan extra taken op nadat basistaken klaar zijn
-Vraagt regelmatig feedback over de kwaliteit</t>
  </si>
  <si>
    <t>Zelfstandig werken</t>
  </si>
  <si>
    <t>-Kan een opgelegde taak zelfstandig aanvatten
-Werkt voort zonder aansporingen
-Kan een taak zonder instructies zelfstandig uitvoeren
-Focust op de taak zonder zich te laten afleiden door storende factoren</t>
  </si>
  <si>
    <t>Stressbestendigheid</t>
  </si>
  <si>
    <t>-Kan tijdelijk extra snel werken om pieken weg te werken
-Houdt spanningen en emoties in de gaten, zonder ze te onderdrukken
-Reageert professioneel, kalm en beheerst bij plotse wijzigingen of tegenslag</t>
  </si>
  <si>
    <t>Assertiviteit</t>
  </si>
  <si>
    <t>-Is beleefd tegen anderen
-Spreekt rustig en duidelijk een standpunt of mening uit (ook in moeilijke situaties)
-Neemt verantwoordelijkheid op voor eigen gedrag
-Komt op voor zichzelf op een positieve manier (rekening houdend met zichzelf en de anderen)
-Kan omgaan met positieve en negatieve feedback
-Geeft op een opbouwende manier feedback op het gedrag van anderen</t>
  </si>
  <si>
    <t>Aanpassingsvermogen</t>
  </si>
  <si>
    <t>-Kan omgaan met een wijziging van een opdracht
-Staat open voor nieuwe ideeën en/of andere werkwijzen
-Is bereid om eigen routines te veranderen</t>
  </si>
  <si>
    <t>Kennis van de Nederlandse taal</t>
  </si>
  <si>
    <t>-Begrijpt de Nederlandse taal
-Kan zich verstaanbaar maken in het Nederlands
-Kan voldoende Nederlands lezen en schrijven</t>
  </si>
  <si>
    <t>Lichaamsverzorging</t>
  </si>
  <si>
    <t>Technische competenties</t>
  </si>
  <si>
    <t>Kies je afdeling</t>
  </si>
  <si>
    <t>Kolom1</t>
  </si>
  <si>
    <t>20192</t>
  </si>
  <si>
    <t>20202</t>
  </si>
  <si>
    <t>20212</t>
  </si>
  <si>
    <t>20222</t>
  </si>
  <si>
    <t>2023</t>
  </si>
  <si>
    <t>Groenonderhoud</t>
  </si>
  <si>
    <t>plantenkennis</t>
  </si>
  <si>
    <t>Ik kan courante sierheesters, vaste planten, plantsoenplanten en bomen herkennen en benoemen</t>
  </si>
  <si>
    <t>onkruid verwijderen</t>
  </si>
  <si>
    <t>-Ik kan de hakker en rijf op een correcte manier hanteren
-Ik kan met de rolfrees werken</t>
  </si>
  <si>
    <t>met onkruidbestrijdingsmachine werken</t>
  </si>
  <si>
    <t xml:space="preserve">Ik kan de machine op een correcte manier gebruiken om onkruid op een ecologische manier te verwijderen </t>
  </si>
  <si>
    <t>planlezen</t>
  </si>
  <si>
    <t>Ik kan een beplantingsplan lezen en uitzetten</t>
  </si>
  <si>
    <t>Snoeien</t>
  </si>
  <si>
    <t>- Ik ken de verschillende soorten snoei en kan deze toepassen
- Ik kan met de stokzaag werken
- ik kan met de heggenschaar werken</t>
  </si>
  <si>
    <t>Gras maaien</t>
  </si>
  <si>
    <t>-Ik kan de zelftrekkende grasmachine bedienen
-Ik kan op een correcte manier met de zitmaaier werken</t>
  </si>
  <si>
    <t>Met Kettingzaag werken</t>
  </si>
  <si>
    <t>Ik kan op een correcte manier met de kettingzaag werken</t>
  </si>
  <si>
    <t>Motoculteur bedienen</t>
  </si>
  <si>
    <t>-Ik kan de motoculteur correct bedienen, zowel de frees als de klepelmaaier
-Ik kan de verschillende werktuigen verwijderen en bevestigen</t>
  </si>
  <si>
    <t>Met bosmaaier werken</t>
  </si>
  <si>
    <t>-Ik kan met bosmaaier werken
-Ik kan een nieuwe maaikoord bevestigen</t>
  </si>
  <si>
    <t>Met een kniklader werken</t>
  </si>
  <si>
    <t>Ik kan de kniklader correct bedienen</t>
  </si>
  <si>
    <t>Veilig en hoffelijk rijden in het verkeer</t>
  </si>
  <si>
    <t>-Houdt zich aan de snelheidsbeperkingen
-Parkeert op veilige plaatsen
-Houdt rekening met de inhoud van de laadbak
-Stapt op een veilige manier in en uit het voertuig
-Houdt rekening met andere voertuigen en personen op de weg</t>
  </si>
  <si>
    <t>Route volgen</t>
  </si>
  <si>
    <t>-De afgesproken route volgen
-Wijzigingen in de route bespreken (bijvoorbeeld omleidingen)
-GPS gebruiken</t>
  </si>
  <si>
    <t>De staat van het voertuig controleren en reinigen</t>
  </si>
  <si>
    <t>-Onregelmatigheden melden
-Camionette proper houden</t>
  </si>
  <si>
    <t>Recyclage ROS</t>
  </si>
  <si>
    <t>Loshulpmiddelen correct hanteren</t>
  </si>
  <si>
    <t>-Ik kan met een transpallet rijden
-Ik kan met een electrische transpallet (stapelaar) rijden
-Ik kan een steekkar bedienen
-Ik kan een heftruck besturen</t>
  </si>
  <si>
    <t>Opslagklaar maken van goederen</t>
  </si>
  <si>
    <t>-Ik kan goederen sorteren in verschillende categorieën
-Kennis goederenbehandeling</t>
  </si>
  <si>
    <t>Lossen van goederen</t>
  </si>
  <si>
    <t>-Ik kan ergonomisch werken
-Ik kan de goederen veilig stapelen
-Ik sorteer de afvalstoffen op een correcte manier en op de juiste plaats
-Ik kan de laadbrug van de vrachtwagen bedienen</t>
  </si>
  <si>
    <t>Registreren van gegevens</t>
  </si>
  <si>
    <t>-Ik kan verwerkte of ontvangen aantallen registreren</t>
  </si>
  <si>
    <t>Laden van goederen</t>
  </si>
  <si>
    <t>-Ik kan de goederen in de vrachtwagen laden aan de hand van laadhulpmiddelen en volgens de diverse technieken voor het laden, afhankelijk van de soort goederen
-Ik kan de lading controleren en problemen signaleren
-Ik kan de beschikbare laadruimte optimaal gebruiken – indeling laden afvalfracties ifv lossen op de site</t>
  </si>
  <si>
    <t>Matrassen ontmantelen</t>
  </si>
  <si>
    <t>-Ik ken het materiaal dat nodig is om matrassen te ontmantelen
-Ik kan de matrassen zelfstandig ontmantelen
-Ik ken de veiligheidsvoorschriften hierrond (overall, stofmasker,..)</t>
  </si>
  <si>
    <t>Bandenmachine bedienen</t>
  </si>
  <si>
    <t>-Ik kan zelfstandig de bandenmachine bedienen
-Ik ken de veiligheidsvoorschriften van de bandenmachine</t>
  </si>
  <si>
    <t>Recyclage RAS</t>
  </si>
  <si>
    <t>-Ik kan met een transpallet rijden
-Ik kan met een electrische transpallet (stapelaar) rijden
-Ik kan een heftruck besturen</t>
  </si>
  <si>
    <t>Sorteren van goederen</t>
  </si>
  <si>
    <t>-Ik kan goederen sorteren in verschillende maten en categorieën</t>
  </si>
  <si>
    <t>Laden en lossen van goederen</t>
  </si>
  <si>
    <t>-Ik kan ergonomisch werken
-Ik kan de goederen veilig stapelen
-Ik kan containers laden en lossen, zowel met de hand als met transpallet</t>
  </si>
  <si>
    <t>-Ik kan verwerkte of ontvangen aantallen registreren op papier
-Ik kan weegbonnen ingeven in de computer</t>
  </si>
  <si>
    <t>Weegschaal gebruiken</t>
  </si>
  <si>
    <t>-Ik kan inkomende goederen wegen
-Ik kan productsamples correct afwegen</t>
  </si>
  <si>
    <t>Verpakken van goederen</t>
  </si>
  <si>
    <t>-Ik kan het juiste aantal goederen in- of verpakken.
-Ik kan dozen juist labelen en stapelen
-Ik kan zelf labels maken</t>
  </si>
  <si>
    <t>nvt</t>
  </si>
  <si>
    <t>Machine-onderhoud</t>
  </si>
  <si>
    <t>-Ik kan de machineonderdelen reinigen met de stofzuiger
-Ik kan de RAS-installatie preventief opvolgen
-Ik weet welke handelingen ik wel en niet mag uitvoeren aan de machine
-Ik kan volle big bags verwisselen
-Courante technische problemen (bvb verstoppingen) voorkomen of verhelpen /oplossen</t>
  </si>
  <si>
    <t>Orderpicking</t>
  </si>
  <si>
    <t>-Ik kan een bestelling voor donations klaarzetten a.d.h.v. een orderpicklijst</t>
  </si>
  <si>
    <t>Recyclage glasbollen</t>
  </si>
  <si>
    <t>Glasbolsites reinigen</t>
  </si>
  <si>
    <t>-Afval verwijderen op een correcte en veilige manier</t>
  </si>
  <si>
    <t>Onkruid verwijderen</t>
  </si>
  <si>
    <t>-Het onkruid van de glasbolsites verwijderen met de hand, bezem, voegenkrabber</t>
  </si>
  <si>
    <t>Werken met de hogedrukreiniger</t>
  </si>
  <si>
    <t>-Bij het poetsen van de glasbollen de hogedrukreiniger op een correcte en veilige manier hanteren</t>
  </si>
  <si>
    <t>Rapportage van gegevens</t>
  </si>
  <si>
    <t>-Correcte rapportage van de gedane werken</t>
  </si>
  <si>
    <t>Onregelmatigheden melden</t>
  </si>
  <si>
    <t>-Begeleider/coördinator contacteren bij onregelmatigheden en/of vragen
-Juiste diensten inschakelen bij het aantreffen van een sluikstort</t>
  </si>
  <si>
    <t>Laden en lossen</t>
  </si>
  <si>
    <t>-Ergonomisch werken
-Veilig stapelen
-Maximale laadvermogen in het oog houden</t>
  </si>
  <si>
    <t>Recyclage verf</t>
  </si>
  <si>
    <t>Verfcontrole</t>
  </si>
  <si>
    <t>-Alle nodige handelingen in de juiste volgorde uitvoeren
-Gecontroleerde verf op een logische manier sorteren</t>
  </si>
  <si>
    <t>-Hoeveelheden en afkomst noteren op de juiste formulieren
-Gegevens ingeven in de computer
-Labels maken en op een juiste manier op de verfpot kleven</t>
  </si>
  <si>
    <t>Wegen van de verf</t>
  </si>
  <si>
    <t>-De weegschaal gebruiken op een correcte manier</t>
  </si>
  <si>
    <t>Berekeningen maken</t>
  </si>
  <si>
    <t>-Kennis van de begrippen Netto, Tare
-Aantal kg kunnen omzetten in aantal liter en prijs</t>
  </si>
  <si>
    <t>Fietsenatelier</t>
  </si>
  <si>
    <t>Demonteren van een fiets</t>
  </si>
  <si>
    <t>-Alle onderdelen demonteren, sorteren en oppoetsen</t>
  </si>
  <si>
    <t>Gereedschap gebruiken</t>
  </si>
  <si>
    <t>-Namen en gebruik van gereedschap kennen
-Het juiste gereedschap gebruiken
-Gereedschap op de juiste manier gebruiken
-Werkbak in orde houden</t>
  </si>
  <si>
    <t>Fietscontrole</t>
  </si>
  <si>
    <t>-Controle doen van een fiets
-Mankementen kunnen vaststellen
-Beslissing kunnen maken: in orde of niet
-De checklist voor controle gebruiken
-Een goede testrit maken</t>
  </si>
  <si>
    <t>Tweedehandsfietsen monteren</t>
  </si>
  <si>
    <t>-Juiste onderdelen kiezen en monteren
-Kabels aanbrengen
-Licht aansluiten
-Remmen afstellen
-Versnellingen afstellen</t>
  </si>
  <si>
    <t>Nieuwe fietsen monteren</t>
  </si>
  <si>
    <t>-Controle op beschadiging en fouten
-Monteren met aandacht voor het vermijden van beschadiging
-Controle en proper afleveren
-Stickers aanbrengen</t>
  </si>
  <si>
    <t>Fietsen herstellen</t>
  </si>
  <si>
    <t>-Mankementen kunnen vaststellen
-Mankementen verhelpen</t>
  </si>
  <si>
    <t>Werken met gespecialiseerd materiaal</t>
  </si>
  <si>
    <t>-Naafversnellingen 3-4-7-8
-Scram naafversnellingen
-Aangepaste fietsen
-tandems
-Elektrische fietsen
-Derailleurversnellingen</t>
  </si>
  <si>
    <t>werken met gespecialiseerd gereedschap</t>
  </si>
  <si>
    <t>-Snij / tap gereedschappen
-Multimeter
-Olie wisselen hydraulische remmen</t>
  </si>
  <si>
    <t>Registreren van werkfiches</t>
  </si>
  <si>
    <t>-Correct invullen van werkfiches</t>
  </si>
  <si>
    <t>klantvriendelijkheid</t>
  </si>
  <si>
    <t>-Is beleefd
-Luistert naar de wensen van de klant
-Geeft correcte informatie</t>
  </si>
  <si>
    <t>Fietspunt</t>
  </si>
  <si>
    <t>met de computer werken</t>
  </si>
  <si>
    <t>-Abonnementen aanmaken
-Registraties
-Planning opvolgen
-Documenten scannen, uploaden en doormailen
-Documenten printen en kopiëren
-Foto's uploaden
-Werking Blue-bike automaat kennen</t>
  </si>
  <si>
    <t>onderhoud fietsen</t>
  </si>
  <si>
    <t>-fiets nakijken i.f.v. thuiskomstprincipe
-Licht vervangen
-Banden oppompen
-Dagelijks onderhouden van de blue bikes
-kleine herstellingen uitvoeren
-hulp inroepen bij grotere reparaties indien nodig
-poetsen van fietsen</t>
  </si>
  <si>
    <t>onderhoud van de omgeving</t>
  </si>
  <si>
    <t>-zwerfvuil verzamelen
-bladeren opkuisen
-klein groenonderhoud
-Hogedrukreiniger correct gebruiken</t>
  </si>
  <si>
    <t>labelen van fietsen</t>
  </si>
  <si>
    <t>-Label correct aanbrengen op een fiets
-Labels aanmaken met labelmachine</t>
  </si>
  <si>
    <t>beheer van het fietspunt</t>
  </si>
  <si>
    <t>-Fietsen correct stallen
-Fietscontrole
-Code sleutelkasten vervangfietsen instellen
-Weesfietsenactie</t>
  </si>
  <si>
    <t>beheer van de kassa</t>
  </si>
  <si>
    <t>-Correct omgaan met geld
-Registraties in het kasboek
- Opmaken verhuurdocumenten</t>
  </si>
  <si>
    <t>gebruik van gsm en camera</t>
  </si>
  <si>
    <t>-Telefonisch oproepen kunnen beantwoorden
-Foto's nemen</t>
  </si>
  <si>
    <t>Recylage backcup</t>
  </si>
  <si>
    <t>Wassen van herbruikbare bekers</t>
  </si>
  <si>
    <t xml:space="preserve"> '-Controle van de bekers op beschadigingen en vervuiling
- Inladen van de waskorven op een juiste manier</t>
  </si>
  <si>
    <t>Recyclage backcup</t>
  </si>
  <si>
    <t>Wassen van kisten en deksels</t>
  </si>
  <si>
    <t>- Kisten en deksels correct uit elkaar halen
- Correct gebruik van de machine
- Controle op beschadiging
- Kisten terug netjes in elkaar steken</t>
  </si>
  <si>
    <t>Inladen van kisten met propere bekers</t>
  </si>
  <si>
    <t>- Bekers controleren op beschadiging en vervuiling
- Afgekeurde bekers verwijderen
- Inladen volgens juiste stapelwijze
- Kisten correct afsluiten</t>
  </si>
  <si>
    <t>Tellingen maken</t>
  </si>
  <si>
    <t>- Correcte telling maken van tekorte, beschadigde en 
  kapotte bekers
- Bon voor telling correct invullen
- Rekenmachine kunnen gebruiken</t>
  </si>
  <si>
    <t>Machinegebruik- en onderhoud</t>
  </si>
  <si>
    <t>- Correct gebruik van de machines
- Reinigen van machineonderdelen
- Correct aanvullen van zout, zeep
- Onregelmatigheden melden
- Noteren van foutmeldingen en tijden aan de wasstraat</t>
  </si>
  <si>
    <t>Hygiënisch werken</t>
  </si>
  <si>
    <t>- Volgt de voorschriften voor het dragen van kledij en 
  juwelen
- Wast de handen volgens afspraak
- Signaleert problemen met hygiëne in de werkomgeving
- Signaleert problemen met hygiëne bij collega's of derden</t>
  </si>
  <si>
    <t>- Correct gebruik van de transpallet
- Correct gebruik van de elektrische transpallet (stapelaar)
- Stallen op de daarvoor voorziene plaats
- Batterij opladen en controle gedemineraliseerd water + 
  bijvullen</t>
  </si>
  <si>
    <t>Operationele problemen oplossen</t>
  </si>
  <si>
    <t>- Problemen opmerken
- Relevante gegevens verzamelen en mogelijke oorzaken 
  van problemen opsporen
- Ziet de juiste oplossing
- Weet welke acties hij zelf mag doen en wanneer hij 
  iemand erbij moet halen
- Rapporteert, ook al lost hij het zelf op
- Kan basisproblemen zelf oplossen volgens een aangeleerde 
  methode</t>
  </si>
  <si>
    <t>Stapelen van kisten bekers</t>
  </si>
  <si>
    <t>- Houdt zich aan het afgesproken stapelschema
- Gebruikt de correcte stapeltechnieken
- Brengt de nodige codes of labels aan
- Vermijdt anderen in gevaar te brengen
- Vermijdt overbodige handelingen
- Werkt zonder de te stapelen voorwerpen te beschadigen</t>
  </si>
  <si>
    <t>Bestellingen klaarzetten voor de klant</t>
  </si>
  <si>
    <t>- Bestelbon correct kunnen interpreteren
- Juiste hoeveelheid kisten van de juiste soort bij elkaar zetten
- Alle benodigdheden toevoegen
- Werkorders per klant correct invullen
- In- en uitleverbon correct hanteren</t>
  </si>
  <si>
    <t>Laden en lossen van de camionette</t>
  </si>
  <si>
    <t>- Veilig stapelen
- Oog voor orde en structuur in de camionette
- Juiste hulpmiddelen gebruiken</t>
  </si>
  <si>
    <t>- De afgesproken route volgen
- Wijzigingen in de route bespreken
- GPS gebruiken</t>
  </si>
  <si>
    <t>Veilig werken</t>
  </si>
  <si>
    <t>-Draagt de nodige persoonlijke beschermingsmiddelen
-Volgt de veiligheidsvoorschriften
-Zorgt ervoor dat situaties ongevaarlijk zijn voor zichtzelf
-Zorgt ervoor dat situaties ongevaarlijk zijn voor anderen
-Meldt wanneer een situatie onveilig is
-Durft anderen aanspreken op onveilig gedrag
-Kan veilig werken op verplaatsing</t>
  </si>
  <si>
    <t>Heffen en tillen</t>
  </si>
  <si>
    <t>-Buigt door de knieën en houdt het gewicht tegen het lichaam, als een last van de grond genomen moet worden
-Gebruikt de juiste hulpmiddelen als een last over een bepaalde afstand moet verplaatst worden
-Vraagt hulp als een last te zwaar is om alleen te dragen of te verplaatsen
-Beoordeelt eerst de omgeving (geen hindernissen) voor hij start met een last te dragen
-Respecteert de afgesproken opstelling van de werkplaats</t>
  </si>
  <si>
    <t>Ordelijk werken</t>
  </si>
  <si>
    <t>-Draagt zorg voor het materiaal
-Hanteert het materiaal op de juiste wijze
-Vraagt uitleg over het gebruik en het onderhoud van het materiaal
-Reinigt het materiaal indien nodig
-Meldt defecten en slijtage
-Bergt het materiaal correct op
-Zorgt voor orde op de werkpost
-Werkt mee aan de orde van de omgeving</t>
  </si>
  <si>
    <t>Nike</t>
  </si>
  <si>
    <t>VORMING</t>
  </si>
  <si>
    <t xml:space="preserve">Welke vorming/opleiding volgde je dit jaar? Wat neem je hieruit mee? </t>
  </si>
  <si>
    <t>In welke vorming/opleiding heb je interesse? (Ook rekening houdend met je actieplan)</t>
  </si>
  <si>
    <t>ACTIEPLAN</t>
  </si>
  <si>
    <t>Acties</t>
  </si>
  <si>
    <t>Verwacht resultaat (meetbaar)</t>
  </si>
  <si>
    <t>wie kan me hierbij helpen?</t>
  </si>
  <si>
    <t>Tegen wanneer</t>
  </si>
  <si>
    <t>Soort competentie</t>
  </si>
  <si>
    <t>Specifieke acties i.f.v. doorstroom (*)</t>
  </si>
  <si>
    <t>(*) motiveer indien niet van toepassing:</t>
  </si>
  <si>
    <t>OPVOLGING 1</t>
  </si>
  <si>
    <t>Acties uit POP</t>
  </si>
  <si>
    <t>Voortgang en opmerkingen</t>
  </si>
  <si>
    <t>Terug opnemen?</t>
  </si>
  <si>
    <t>Ja</t>
  </si>
  <si>
    <t xml:space="preserve">Heb afwisseling nodig. Bv 1 dag met de glasbollen, 1 dag met de vrachtwagen, 1 dag met het groenonderhoud. Eens ik de structuur vast heb, dan ga ik daar beter in worden. Bv in de helft van de week ergens anders ga werken. bv 3 dagen hier en 2 dagen een andere taak. Dan denk ik dat ik het hier nog langer ga vol houden. </t>
  </si>
  <si>
    <t>OPVOLGING 2</t>
  </si>
  <si>
    <t>- Controle van de bekers op beschadigingen en vervuiling
- Inladen van de waskorven op een juiste manier</t>
  </si>
  <si>
    <t>28/06/2021</t>
  </si>
  <si>
    <t>x</t>
  </si>
  <si>
    <t>06/07/2021</t>
  </si>
  <si>
    <t xml:space="preserve">-Verzorgt zijn/haar uiterlijk (voorkomen): haar en lichaam 
 zijn gewassen en verzorgd. Tanden en mondhygiëne zijn 
 in orde. Handen en nagels zijn verzorgd.
-Draagt werkkledij van de Sprong of kledij die bij de 
 situatie past. De kledij is fris gewassen. </t>
  </si>
  <si>
    <t>-Ik kan ergonomisch werken
-Ik kan de goederen veilig stapelen
-Ik kan containers laden en lossen met transpallet</t>
  </si>
  <si>
    <t>-Ik kan verwerkte of ontvangen aantallen registreren op papier
-Ik kan weegbonnen ingeven op de tablet</t>
  </si>
  <si>
    <t>-Ik kan het juiste aantal goederen in- of verpakken.
-Ik kan dozen juist labelen en stapelen</t>
  </si>
  <si>
    <t>Lichaamverzorging</t>
  </si>
  <si>
    <t>2019</t>
  </si>
  <si>
    <t>2020</t>
  </si>
  <si>
    <t>2021</t>
  </si>
  <si>
    <t>2022</t>
  </si>
  <si>
    <t>Arbeidszorg</t>
  </si>
  <si>
    <t>Recyclage</t>
  </si>
  <si>
    <t>doelgroepwerknemer</t>
  </si>
  <si>
    <t>art.60</t>
  </si>
  <si>
    <t>VOP</t>
  </si>
  <si>
    <t>vrijwilliger</t>
  </si>
  <si>
    <t>stagiair</t>
  </si>
  <si>
    <t>arbeidszorg</t>
  </si>
  <si>
    <t>auto</t>
  </si>
  <si>
    <t>fiets</t>
  </si>
  <si>
    <t>openbaar vervoer</t>
  </si>
  <si>
    <t>brommer</t>
  </si>
  <si>
    <t>te voet</t>
  </si>
  <si>
    <t>zeer goed</t>
  </si>
  <si>
    <t>goed</t>
  </si>
  <si>
    <t>middelmatig</t>
  </si>
  <si>
    <t>minder goed</t>
  </si>
  <si>
    <t>slecht</t>
  </si>
  <si>
    <t>Technisch</t>
  </si>
  <si>
    <t>Generiek</t>
  </si>
  <si>
    <t>Neen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</si>
</sst>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17">
    <font>
      <sz val="11"/>
      <color theme="1"/>
      <name val="Calibri"/>
      <family val="2"/>
      <scheme val="minor"/>
    </font>
    <font>
      <b/>
      <sz val="14"/>
      <color theme="1"/>
      <name val="Trebuchet MS"/>
      <family val="2"/>
    </font>
    <font>
      <sz val="11"/>
      <color theme="1"/>
      <name val="Trebuchet MS"/>
      <family val="2"/>
    </font>
    <font>
      <b/>
      <sz val="11"/>
      <color theme="0"/>
      <name val="Trebuchet MS"/>
      <family val="2"/>
    </font>
    <font>
      <sz val="10"/>
      <color theme="1"/>
      <name val="Trebuchet MS"/>
      <family val="2"/>
    </font>
    <font>
      <b/>
      <sz val="11"/>
      <color theme="1"/>
      <name val="Trebuchet MS"/>
      <family val="2"/>
    </font>
    <font>
      <b/>
      <sz val="12"/>
      <color theme="1"/>
      <name val="Trebuchet MS"/>
      <family val="2"/>
    </font>
    <font>
      <sz val="9"/>
      <color theme="1"/>
      <name val="Trebuchet MS"/>
      <family val="2"/>
    </font>
    <font>
      <sz val="8"/>
      <color theme="1"/>
      <name val="Trebuchet MS"/>
      <family val="2"/>
    </font>
    <font>
      <i/>
      <sz val="8"/>
      <color theme="1"/>
      <name val="Trebuchet MS"/>
      <family val="2"/>
    </font>
    <font>
      <b/>
      <sz val="10"/>
      <color theme="1"/>
      <name val="Trebuchet MS"/>
      <family val="2"/>
    </font>
    <font>
      <b/>
      <sz val="9"/>
      <color theme="1"/>
      <name val="Trebuchet MS"/>
      <family val="2"/>
    </font>
    <font>
      <b/>
      <sz val="8"/>
      <color theme="1"/>
      <name val="Trebuchet MS"/>
      <family val="2"/>
    </font>
    <font>
      <sz val="11"/>
      <name val="Trebuchet MS"/>
      <family val="2"/>
    </font>
    <font>
      <b/>
      <sz val="11"/>
      <name val="Trebuchet MS"/>
      <family val="2"/>
    </font>
    <font>
      <sz val="11"/>
      <color rgb="FF00B0F0"/>
      <name val="Trebuchet MS"/>
      <family val="2"/>
    </font>
    <font>
      <u/>
      <sz val="11"/>
      <color theme="1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00B0F0"/>
        <bgColor indexed="64"/>
      </patternFill>
    </fill>
    <fill>
      <patternFill patternType="solid">
        <fgColor theme="7"/>
        <bgColor indexed="64"/>
      </patternFill>
    </fill>
    <fill>
      <patternFill patternType="solid">
        <fgColor theme="5"/>
        <bgColor indexed="64"/>
      </patternFill>
    </fill>
    <fill>
      <patternFill patternType="solid">
        <fgColor rgb="FFFFC000"/>
        <bgColor indexed="64"/>
      </patternFill>
    </fill>
    <fill>
      <patternFill patternType="solid">
        <fgColor theme="0" tint="-4.9989318521683403E-2"/>
        <bgColor indexed="64"/>
      </patternFill>
    </fill>
  </fills>
  <borders count="47">
    <border>
      <left/>
      <right/>
      <top/>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0691854609822"/>
      </left>
      <right/>
      <top style="thin">
        <color theme="0" tint="-0.14990691854609822"/>
      </top>
      <bottom style="thin">
        <color theme="0" tint="-0.14990691854609822"/>
      </bottom>
      <diagonal/>
    </border>
    <border>
      <left/>
      <right/>
      <top style="thin">
        <color theme="0" tint="-0.14990691854609822"/>
      </top>
      <bottom style="thin">
        <color theme="0" tint="-0.14990691854609822"/>
      </bottom>
      <diagonal/>
    </border>
    <border>
      <left style="thin">
        <color theme="0" tint="-0.1498764000366222"/>
      </left>
      <right/>
      <top style="thin">
        <color theme="0" tint="-0.1498764000366222"/>
      </top>
      <bottom style="thin">
        <color theme="0" tint="-0.1498764000366222"/>
      </bottom>
      <diagonal/>
    </border>
    <border>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0691854609822"/>
      </left>
      <right style="thin">
        <color theme="0" tint="-0.1498764000366222"/>
      </right>
      <top style="thin">
        <color theme="0" tint="-0.14990691854609822"/>
      </top>
      <bottom style="thin">
        <color theme="0" tint="-0.14990691854609822"/>
      </bottom>
      <diagonal/>
    </border>
    <border>
      <left style="thin">
        <color theme="0" tint="-0.1498764000366222"/>
      </left>
      <right style="thin">
        <color theme="0" tint="-0.1498764000366222"/>
      </right>
      <top style="thin">
        <color theme="0" tint="-0.14990691854609822"/>
      </top>
      <bottom style="thin">
        <color theme="0" tint="-0.14990691854609822"/>
      </bottom>
      <diagonal/>
    </border>
    <border>
      <left/>
      <right/>
      <top/>
      <bottom style="thin">
        <color theme="0" tint="-0.14990691854609822"/>
      </bottom>
      <diagonal/>
    </border>
    <border>
      <left style="thin">
        <color theme="0" tint="-0.14996795556505021"/>
      </left>
      <right/>
      <top style="thin">
        <color theme="0" tint="-0.14996795556505021"/>
      </top>
      <bottom/>
      <diagonal/>
    </border>
    <border>
      <left style="thin">
        <color theme="0" tint="-0.14996795556505021"/>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bottom style="thin">
        <color theme="0" tint="-0.149937437055574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style="thin">
        <color theme="0" tint="-0.1498458815271462"/>
      </left>
      <right style="thin">
        <color theme="0" tint="-0.1498458815271462"/>
      </right>
      <top style="thin">
        <color theme="0" tint="-0.1498458815271462"/>
      </top>
      <bottom style="thin">
        <color theme="0" tint="-0.1498764000366222"/>
      </bottom>
      <diagonal/>
    </border>
    <border>
      <left style="thin">
        <color theme="0" tint="-0.1498458815271462"/>
      </left>
      <right style="thin">
        <color theme="0" tint="-0.1498458815271462"/>
      </right>
      <top style="thin">
        <color theme="0" tint="-0.1498764000366222"/>
      </top>
      <bottom style="thin">
        <color theme="0" tint="-0.1498764000366222"/>
      </bottom>
      <diagonal/>
    </border>
    <border>
      <left style="thin">
        <color theme="0" tint="-0.1498458815271462"/>
      </left>
      <right style="thin">
        <color theme="0" tint="-0.1498458815271462"/>
      </right>
      <top style="thin">
        <color theme="0" tint="-0.1498764000366222"/>
      </top>
      <bottom style="thin">
        <color theme="0" tint="-0.1498458815271462"/>
      </bottom>
      <diagonal/>
    </border>
    <border>
      <left style="thin">
        <color theme="0" tint="-0.14996795556505021"/>
      </left>
      <right style="thin">
        <color theme="0" tint="-0.14996795556505021"/>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style="thin">
        <color theme="0" tint="-0.14996795556505021"/>
      </top>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style="thin">
        <color theme="0" tint="-0.1498764000366222"/>
      </left>
      <right style="thin">
        <color theme="0" tint="-0.1498764000366222"/>
      </right>
      <top style="thin">
        <color theme="0" tint="-0.1498764000366222"/>
      </top>
      <bottom/>
      <diagonal/>
    </border>
    <border>
      <left style="thin">
        <color theme="0" tint="-0.1498764000366222"/>
      </left>
      <right/>
      <top style="thin">
        <color theme="0" tint="-0.1498764000366222"/>
      </top>
      <bottom/>
      <diagonal/>
    </border>
    <border>
      <left style="thin">
        <color theme="0" tint="-0.14996795556505021"/>
      </left>
      <right style="thin">
        <color theme="0" tint="-0.14996795556505021"/>
      </right>
      <top style="thin">
        <color theme="0" tint="-0.14996795556505021"/>
      </top>
      <bottom/>
      <diagonal/>
    </border>
    <border>
      <left style="thin">
        <color theme="0" tint="-0.14990691854609822"/>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0691854609822"/>
      </top>
      <bottom style="thin">
        <color theme="0" tint="-0.14990691854609822"/>
      </bottom>
      <diagonal/>
    </border>
    <border>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0691854609822"/>
      </right>
      <top style="thin">
        <color theme="0" tint="-0.14990691854609822"/>
      </top>
      <bottom style="thin">
        <color theme="0" tint="-0.14990691854609822"/>
      </bottom>
      <diagonal/>
    </border>
    <border>
      <left/>
      <right/>
      <top/>
      <bottom style="thin">
        <color theme="0" tint="-0.14996795556505021"/>
      </bottom>
      <diagonal/>
    </border>
    <border>
      <left style="thin">
        <color theme="0" tint="-0.14996795556505021"/>
      </left>
      <right style="thin">
        <color theme="0" tint="-0.14996795556505021"/>
      </right>
      <top style="thin">
        <color theme="0" tint="-0.14993743705557422"/>
      </top>
      <bottom style="thin">
        <color theme="0" tint="-0.14996795556505021"/>
      </bottom>
      <diagonal/>
    </border>
    <border>
      <left style="thin">
        <color theme="0" tint="-0.14993743705557422"/>
      </left>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style="thin">
        <color theme="0" tint="-0.14996795556505021"/>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right style="thin">
        <color theme="0" tint="-0.14993743705557422"/>
      </right>
      <top/>
      <bottom style="thin">
        <color theme="0" tint="-0.14993743705557422"/>
      </bottom>
      <diagonal/>
    </border>
    <border>
      <left/>
      <right style="thin">
        <color theme="0" tint="-0.14990691854609822"/>
      </right>
      <top style="thin">
        <color theme="0" tint="-0.14990691854609822"/>
      </top>
      <bottom style="thin">
        <color theme="0" tint="-0.14990691854609822"/>
      </bottom>
      <diagonal/>
    </border>
    <border>
      <left/>
      <right style="thin">
        <color theme="0" tint="-0.14993743705557422"/>
      </right>
      <top style="thin">
        <color theme="0" tint="-0.14993743705557422"/>
      </top>
      <bottom/>
      <diagonal/>
    </border>
  </borders>
  <cellStyleXfs count="2">
    <xf numFmtId="0" fontId="0" fillId="0" borderId="0"/>
    <xf numFmtId="0" fontId="16" fillId="0" borderId="0" applyNumberFormat="0" applyFill="0" applyBorder="0" applyAlignment="0" applyProtection="0"/>
  </cellStyleXfs>
  <cellXfs count="193">
    <xf numFmtId="0" fontId="0" fillId="0" borderId="0" xfId="0"/>
    <xf numFmtId="0" fontId="1" fillId="3" borderId="0" xfId="0" applyFont="1" applyFill="1" applyAlignment="1">
      <alignment vertical="center"/>
    </xf>
    <xf numFmtId="0" fontId="2" fillId="3" borderId="0" xfId="0" applyFont="1" applyFill="1" applyAlignment="1">
      <alignment vertical="center"/>
    </xf>
    <xf numFmtId="0" fontId="2" fillId="3" borderId="4" xfId="0" applyFont="1" applyFill="1" applyBorder="1" applyAlignment="1">
      <alignment horizontal="left" vertical="center"/>
    </xf>
    <xf numFmtId="0" fontId="3" fillId="2" borderId="0" xfId="0" applyFont="1" applyFill="1" applyAlignment="1">
      <alignment horizontal="left" vertical="center"/>
    </xf>
    <xf numFmtId="0" fontId="2" fillId="3" borderId="0" xfId="0" applyFont="1" applyFill="1" applyAlignment="1">
      <alignment horizontal="left" vertical="center"/>
    </xf>
    <xf numFmtId="0" fontId="2" fillId="4" borderId="0" xfId="0" applyFont="1" applyFill="1" applyAlignment="1">
      <alignment vertical="center"/>
    </xf>
    <xf numFmtId="0" fontId="5" fillId="4" borderId="0" xfId="0" applyFont="1" applyFill="1" applyAlignment="1">
      <alignment vertical="center"/>
    </xf>
    <xf numFmtId="0" fontId="6" fillId="4" borderId="0" xfId="0" applyFont="1" applyFill="1" applyAlignment="1">
      <alignment vertical="center"/>
    </xf>
    <xf numFmtId="0" fontId="2" fillId="3" borderId="17" xfId="0" applyFont="1" applyFill="1" applyBorder="1" applyAlignment="1">
      <alignment horizontal="center" vertical="center"/>
    </xf>
    <xf numFmtId="0" fontId="2" fillId="3" borderId="0" xfId="0" applyFont="1" applyFill="1" applyAlignment="1">
      <alignment horizontal="left" vertical="center" wrapText="1"/>
    </xf>
    <xf numFmtId="0" fontId="2" fillId="3" borderId="0" xfId="0" applyFont="1" applyFill="1" applyAlignment="1">
      <alignment horizontal="center" vertical="center"/>
    </xf>
    <xf numFmtId="0" fontId="1" fillId="4" borderId="0" xfId="0" applyFont="1" applyFill="1" applyAlignment="1">
      <alignment vertical="center"/>
    </xf>
    <xf numFmtId="0" fontId="5" fillId="4" borderId="20" xfId="0" applyFont="1" applyFill="1" applyBorder="1" applyAlignment="1">
      <alignment horizontal="center" vertical="center"/>
    </xf>
    <xf numFmtId="0" fontId="5" fillId="4" borderId="5" xfId="0" applyFont="1" applyFill="1" applyBorder="1" applyAlignment="1">
      <alignment vertical="center"/>
    </xf>
    <xf numFmtId="0" fontId="5" fillId="4" borderId="1" xfId="0" applyFont="1" applyFill="1" applyBorder="1" applyAlignment="1">
      <alignment vertical="center"/>
    </xf>
    <xf numFmtId="0" fontId="5" fillId="4" borderId="6" xfId="0" applyFont="1" applyFill="1" applyBorder="1" applyAlignment="1">
      <alignment horizontal="center" vertical="center"/>
    </xf>
    <xf numFmtId="0" fontId="2" fillId="3" borderId="15" xfId="0" applyFont="1" applyFill="1" applyBorder="1" applyAlignment="1">
      <alignment vertical="center" wrapText="1"/>
    </xf>
    <xf numFmtId="0" fontId="2" fillId="3" borderId="18" xfId="0" applyFont="1" applyFill="1" applyBorder="1" applyAlignment="1">
      <alignment vertical="center" wrapText="1"/>
    </xf>
    <xf numFmtId="0" fontId="2" fillId="3" borderId="1" xfId="0" applyFont="1" applyFill="1" applyBorder="1" applyAlignment="1">
      <alignment vertical="center" wrapText="1"/>
    </xf>
    <xf numFmtId="0" fontId="2" fillId="3" borderId="15" xfId="0" applyFont="1" applyFill="1" applyBorder="1" applyAlignment="1">
      <alignment vertical="center"/>
    </xf>
    <xf numFmtId="0" fontId="3" fillId="3" borderId="0" xfId="0" applyFont="1" applyFill="1" applyAlignment="1">
      <alignment vertical="center"/>
    </xf>
    <xf numFmtId="0" fontId="2" fillId="3" borderId="22" xfId="0" applyFont="1" applyFill="1" applyBorder="1" applyAlignment="1">
      <alignment horizontal="left" vertical="center"/>
    </xf>
    <xf numFmtId="0" fontId="2" fillId="3" borderId="23" xfId="0" applyFont="1" applyFill="1" applyBorder="1" applyAlignment="1">
      <alignment horizontal="left" vertical="center"/>
    </xf>
    <xf numFmtId="0" fontId="2" fillId="3" borderId="24" xfId="0" applyFont="1" applyFill="1" applyBorder="1" applyAlignment="1">
      <alignment horizontal="left" vertical="center"/>
    </xf>
    <xf numFmtId="0" fontId="2" fillId="3" borderId="25" xfId="0" applyFont="1" applyFill="1" applyBorder="1" applyAlignment="1">
      <alignment vertical="center" wrapText="1"/>
    </xf>
    <xf numFmtId="0" fontId="2" fillId="3" borderId="26" xfId="0" applyFont="1" applyFill="1" applyBorder="1" applyAlignment="1">
      <alignment vertical="center" wrapText="1"/>
    </xf>
    <xf numFmtId="0" fontId="2" fillId="3" borderId="27" xfId="0" applyFont="1" applyFill="1" applyBorder="1" applyAlignment="1">
      <alignment vertical="center" wrapText="1"/>
    </xf>
    <xf numFmtId="0" fontId="2" fillId="3" borderId="28" xfId="0" applyFont="1" applyFill="1" applyBorder="1" applyAlignment="1">
      <alignment vertical="center" wrapText="1"/>
    </xf>
    <xf numFmtId="0" fontId="8" fillId="6" borderId="13" xfId="0" applyFont="1" applyFill="1" applyBorder="1" applyAlignment="1">
      <alignment horizontal="center" vertical="center"/>
    </xf>
    <xf numFmtId="0" fontId="8" fillId="5" borderId="13" xfId="0" applyFont="1" applyFill="1" applyBorder="1" applyAlignment="1">
      <alignment horizontal="center" vertical="center"/>
    </xf>
    <xf numFmtId="0" fontId="7" fillId="4" borderId="12" xfId="0" applyFont="1" applyFill="1" applyBorder="1" applyAlignment="1">
      <alignment horizontal="center" vertical="center"/>
    </xf>
    <xf numFmtId="0" fontId="5" fillId="3" borderId="0" xfId="0" applyFont="1" applyFill="1" applyAlignment="1">
      <alignment vertical="center" wrapText="1"/>
    </xf>
    <xf numFmtId="0" fontId="2" fillId="3" borderId="0" xfId="0" quotePrefix="1" applyFont="1" applyFill="1" applyAlignment="1">
      <alignment vertical="center" wrapText="1"/>
    </xf>
    <xf numFmtId="0" fontId="5" fillId="4" borderId="0" xfId="0" applyFont="1" applyFill="1" applyAlignment="1">
      <alignment vertical="center" wrapText="1"/>
    </xf>
    <xf numFmtId="0" fontId="2" fillId="4" borderId="31" xfId="0" applyFont="1" applyFill="1" applyBorder="1" applyAlignment="1">
      <alignment vertical="center"/>
    </xf>
    <xf numFmtId="0" fontId="2" fillId="3" borderId="3" xfId="0" applyFont="1" applyFill="1" applyBorder="1" applyAlignment="1">
      <alignment vertical="center"/>
    </xf>
    <xf numFmtId="0" fontId="4" fillId="3" borderId="0" xfId="0" applyFont="1" applyFill="1" applyAlignment="1">
      <alignment horizontal="left" vertical="center"/>
    </xf>
    <xf numFmtId="0" fontId="13" fillId="4" borderId="31" xfId="0" applyFont="1" applyFill="1" applyBorder="1" applyAlignment="1">
      <alignment vertical="center"/>
    </xf>
    <xf numFmtId="0" fontId="14" fillId="4" borderId="29" xfId="0" applyFont="1" applyFill="1" applyBorder="1" applyAlignment="1">
      <alignment horizontal="center" vertical="center"/>
    </xf>
    <xf numFmtId="0" fontId="14" fillId="4" borderId="30" xfId="0" applyFont="1" applyFill="1" applyBorder="1" applyAlignment="1">
      <alignment horizontal="center" vertical="center"/>
    </xf>
    <xf numFmtId="0" fontId="15" fillId="4" borderId="0" xfId="0" applyFont="1" applyFill="1" applyAlignment="1">
      <alignment vertical="center"/>
    </xf>
    <xf numFmtId="0" fontId="13" fillId="4" borderId="0" xfId="0" applyFont="1" applyFill="1"/>
    <xf numFmtId="0" fontId="0" fillId="0" borderId="18" xfId="0" applyBorder="1"/>
    <xf numFmtId="0" fontId="2" fillId="3" borderId="34" xfId="0" applyFont="1" applyFill="1" applyBorder="1" applyAlignment="1">
      <alignment vertical="center"/>
    </xf>
    <xf numFmtId="0" fontId="4" fillId="0" borderId="1" xfId="0" applyFont="1" applyBorder="1" applyAlignment="1">
      <alignment vertical="center" wrapText="1"/>
    </xf>
    <xf numFmtId="0" fontId="10" fillId="3" borderId="16" xfId="0" applyFont="1" applyFill="1" applyBorder="1" applyAlignment="1">
      <alignment vertical="center" wrapText="1"/>
    </xf>
    <xf numFmtId="0" fontId="4" fillId="3" borderId="19" xfId="0" quotePrefix="1" applyFont="1" applyFill="1" applyBorder="1" applyAlignment="1">
      <alignment vertical="center" wrapText="1"/>
    </xf>
    <xf numFmtId="0" fontId="2" fillId="7" borderId="0" xfId="0" applyFont="1" applyFill="1" applyAlignment="1">
      <alignment vertical="center"/>
    </xf>
    <xf numFmtId="0" fontId="1" fillId="7" borderId="0" xfId="0" applyFont="1" applyFill="1" applyAlignment="1">
      <alignment vertical="center"/>
    </xf>
    <xf numFmtId="0" fontId="1" fillId="6" borderId="0" xfId="0" applyFont="1" applyFill="1" applyAlignment="1">
      <alignment vertical="center"/>
    </xf>
    <xf numFmtId="0" fontId="2" fillId="6" borderId="0" xfId="0" applyFont="1" applyFill="1" applyAlignment="1">
      <alignment vertical="center"/>
    </xf>
    <xf numFmtId="0" fontId="2" fillId="3" borderId="21" xfId="0" applyFont="1" applyFill="1" applyBorder="1" applyAlignment="1">
      <alignment horizontal="center" vertical="center" wrapText="1"/>
    </xf>
    <xf numFmtId="0" fontId="2" fillId="3" borderId="18"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37" xfId="0" applyFont="1" applyFill="1" applyBorder="1" applyAlignment="1">
      <alignment vertical="center" wrapText="1"/>
    </xf>
    <xf numFmtId="0" fontId="2" fillId="8" borderId="18" xfId="0" applyFont="1" applyFill="1" applyBorder="1" applyAlignment="1">
      <alignment horizontal="center" vertical="center" wrapText="1"/>
    </xf>
    <xf numFmtId="0" fontId="2" fillId="8" borderId="33" xfId="0" applyFont="1" applyFill="1" applyBorder="1" applyAlignment="1">
      <alignment horizontal="center" vertical="center" wrapText="1"/>
    </xf>
    <xf numFmtId="0" fontId="2" fillId="8" borderId="35" xfId="0" applyFont="1" applyFill="1" applyBorder="1" applyAlignment="1">
      <alignment horizontal="center" vertical="center" wrapText="1"/>
    </xf>
    <xf numFmtId="0" fontId="2" fillId="8" borderId="21" xfId="0" applyFont="1" applyFill="1" applyBorder="1" applyAlignment="1">
      <alignment horizontal="center" vertical="center" wrapText="1"/>
    </xf>
    <xf numFmtId="0" fontId="4" fillId="0" borderId="38" xfId="0" applyFont="1" applyBorder="1" applyAlignment="1">
      <alignment vertical="center" wrapText="1"/>
    </xf>
    <xf numFmtId="0" fontId="2" fillId="3" borderId="0" xfId="0" applyFont="1" applyFill="1" applyAlignment="1">
      <alignment horizontal="center" vertical="center" wrapText="1"/>
    </xf>
    <xf numFmtId="0" fontId="4" fillId="3" borderId="0" xfId="0" applyFont="1" applyFill="1" applyAlignment="1">
      <alignment horizontal="left" wrapText="1"/>
    </xf>
    <xf numFmtId="0" fontId="4" fillId="3" borderId="0" xfId="0" applyFont="1" applyFill="1" applyAlignment="1">
      <alignment vertical="center" wrapText="1"/>
    </xf>
    <xf numFmtId="0" fontId="4" fillId="3" borderId="26" xfId="0" applyFont="1" applyFill="1" applyBorder="1" applyAlignment="1">
      <alignment horizontal="left" vertical="center" wrapText="1"/>
    </xf>
    <xf numFmtId="0" fontId="4" fillId="3" borderId="39" xfId="0" applyFont="1" applyFill="1" applyBorder="1" applyAlignment="1">
      <alignment horizontal="left" vertical="center" wrapText="1"/>
    </xf>
    <xf numFmtId="0" fontId="11" fillId="7" borderId="36" xfId="0" applyFont="1" applyFill="1" applyBorder="1" applyAlignment="1">
      <alignment horizontal="center" vertical="center"/>
    </xf>
    <xf numFmtId="0" fontId="4" fillId="0" borderId="18" xfId="0" applyFont="1" applyBorder="1" applyAlignment="1">
      <alignment horizontal="left" vertical="center" wrapText="1"/>
    </xf>
    <xf numFmtId="0" fontId="4" fillId="3" borderId="18" xfId="0" applyFont="1" applyFill="1" applyBorder="1" applyAlignment="1">
      <alignment horizontal="left" vertical="center" wrapText="1"/>
    </xf>
    <xf numFmtId="0" fontId="12" fillId="7" borderId="0" xfId="0" applyFont="1" applyFill="1" applyAlignment="1">
      <alignment horizontal="center" vertical="center" wrapText="1"/>
    </xf>
    <xf numFmtId="0" fontId="12" fillId="6" borderId="0" xfId="0" applyFont="1" applyFill="1" applyAlignment="1">
      <alignment horizontal="center" vertical="center" wrapText="1"/>
    </xf>
    <xf numFmtId="0" fontId="4" fillId="3" borderId="0" xfId="0" applyFont="1" applyFill="1" applyAlignment="1">
      <alignment horizontal="left" vertical="center" wrapText="1"/>
    </xf>
    <xf numFmtId="0" fontId="2" fillId="3" borderId="0" xfId="0" applyFont="1" applyFill="1" applyAlignment="1">
      <alignment vertical="center" wrapText="1"/>
    </xf>
    <xf numFmtId="0" fontId="4" fillId="4" borderId="0" xfId="0" applyFont="1" applyFill="1" applyAlignment="1">
      <alignment horizontal="left" vertical="center" wrapText="1"/>
    </xf>
    <xf numFmtId="0" fontId="10" fillId="3" borderId="0" xfId="0" applyFont="1" applyFill="1" applyAlignment="1">
      <alignment horizontal="left" vertical="center"/>
    </xf>
    <xf numFmtId="0" fontId="0" fillId="0" borderId="1" xfId="0" applyBorder="1"/>
    <xf numFmtId="0" fontId="2" fillId="3" borderId="12" xfId="0" applyFont="1" applyFill="1" applyBorder="1" applyAlignment="1">
      <alignment horizontal="center" vertical="center"/>
    </xf>
    <xf numFmtId="0" fontId="2" fillId="3" borderId="13" xfId="0" applyFont="1" applyFill="1" applyBorder="1" applyAlignment="1">
      <alignment horizontal="center" vertical="center"/>
    </xf>
    <xf numFmtId="0" fontId="4" fillId="0" borderId="1" xfId="0" quotePrefix="1" applyFont="1" applyBorder="1" applyAlignment="1">
      <alignment vertical="center" wrapText="1"/>
    </xf>
    <xf numFmtId="0" fontId="4" fillId="0" borderId="38" xfId="0" quotePrefix="1" applyFont="1" applyBorder="1" applyAlignment="1">
      <alignment vertical="center" wrapText="1"/>
    </xf>
    <xf numFmtId="0" fontId="4" fillId="0" borderId="1" xfId="0" applyFont="1" applyBorder="1" applyAlignment="1">
      <alignment horizontal="left" vertical="center" wrapText="1"/>
    </xf>
    <xf numFmtId="0" fontId="4" fillId="0" borderId="1" xfId="0" quotePrefix="1" applyFont="1" applyBorder="1" applyAlignment="1">
      <alignment horizontal="left" vertical="center" wrapText="1"/>
    </xf>
    <xf numFmtId="0" fontId="0" fillId="0" borderId="18" xfId="0" applyBorder="1" applyAlignment="1">
      <alignment horizontal="left" vertical="center"/>
    </xf>
    <xf numFmtId="0" fontId="4" fillId="0" borderId="32" xfId="0" applyFont="1" applyBorder="1" applyAlignment="1">
      <alignment horizontal="left" vertical="center" wrapText="1"/>
    </xf>
    <xf numFmtId="0" fontId="2" fillId="3" borderId="35" xfId="0" applyFont="1" applyFill="1" applyBorder="1" applyAlignment="1">
      <alignment horizontal="center" vertical="center" wrapText="1"/>
    </xf>
    <xf numFmtId="0" fontId="4" fillId="3" borderId="18" xfId="0" applyFont="1" applyFill="1" applyBorder="1" applyAlignment="1">
      <alignment horizontal="center" vertical="center"/>
    </xf>
    <xf numFmtId="0" fontId="4" fillId="3" borderId="0" xfId="0" applyFont="1" applyFill="1" applyAlignment="1">
      <alignment vertical="center"/>
    </xf>
    <xf numFmtId="0" fontId="4" fillId="3" borderId="18" xfId="0" quotePrefix="1" applyFont="1" applyFill="1" applyBorder="1" applyAlignment="1">
      <alignment horizontal="left" vertical="center" wrapText="1"/>
    </xf>
    <xf numFmtId="0" fontId="4" fillId="3" borderId="1" xfId="0" applyFont="1" applyFill="1" applyBorder="1" applyAlignment="1">
      <alignment horizontal="left" vertical="center" wrapText="1"/>
    </xf>
    <xf numFmtId="0" fontId="4" fillId="3" borderId="2"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1" xfId="0" applyFont="1" applyFill="1" applyBorder="1" applyAlignment="1">
      <alignment horizontal="left" vertical="center"/>
    </xf>
    <xf numFmtId="0" fontId="4" fillId="3" borderId="3" xfId="0" applyFont="1" applyFill="1" applyBorder="1" applyAlignment="1">
      <alignment horizontal="left" vertical="center"/>
    </xf>
    <xf numFmtId="0" fontId="4" fillId="3" borderId="9" xfId="0" applyFont="1" applyFill="1" applyBorder="1" applyAlignment="1">
      <alignment horizontal="left" vertical="center" wrapText="1"/>
    </xf>
    <xf numFmtId="0" fontId="4" fillId="3" borderId="10" xfId="0" applyFont="1" applyFill="1" applyBorder="1" applyAlignment="1">
      <alignment horizontal="left" vertical="center" wrapText="1"/>
    </xf>
    <xf numFmtId="0" fontId="4" fillId="3" borderId="11" xfId="0" applyFont="1" applyFill="1" applyBorder="1" applyAlignment="1">
      <alignment horizontal="left" vertical="center" wrapText="1"/>
    </xf>
    <xf numFmtId="0" fontId="4" fillId="3" borderId="19" xfId="0" applyFont="1" applyFill="1" applyBorder="1" applyAlignment="1">
      <alignment horizontal="left" vertical="center" wrapText="1"/>
    </xf>
    <xf numFmtId="0" fontId="4" fillId="3" borderId="40" xfId="0" applyFont="1" applyFill="1" applyBorder="1" applyAlignment="1">
      <alignment horizontal="left" vertical="center" wrapText="1"/>
    </xf>
    <xf numFmtId="0" fontId="4" fillId="3" borderId="44" xfId="0" applyFont="1" applyFill="1" applyBorder="1" applyAlignment="1">
      <alignment horizontal="left" vertical="center" wrapText="1"/>
    </xf>
    <xf numFmtId="49" fontId="4" fillId="3" borderId="1" xfId="0" quotePrefix="1" applyNumberFormat="1" applyFont="1" applyFill="1" applyBorder="1" applyAlignment="1">
      <alignment horizontal="left" vertical="center" wrapText="1"/>
    </xf>
    <xf numFmtId="49" fontId="4" fillId="3" borderId="3" xfId="0" quotePrefix="1" applyNumberFormat="1" applyFont="1" applyFill="1" applyBorder="1" applyAlignment="1">
      <alignment horizontal="left" vertical="center" wrapText="1"/>
    </xf>
    <xf numFmtId="0" fontId="2" fillId="6" borderId="40" xfId="0" applyFont="1" applyFill="1" applyBorder="1" applyAlignment="1">
      <alignment horizontal="left" vertical="center"/>
    </xf>
    <xf numFmtId="0" fontId="11" fillId="6" borderId="40" xfId="0" applyFont="1" applyFill="1" applyBorder="1" applyAlignment="1">
      <alignment horizontal="left" vertical="center"/>
    </xf>
    <xf numFmtId="0" fontId="11" fillId="7" borderId="40" xfId="0" applyFont="1" applyFill="1" applyBorder="1" applyAlignment="1">
      <alignment horizontal="left" vertical="center"/>
    </xf>
    <xf numFmtId="0" fontId="2" fillId="7" borderId="40" xfId="0" applyFont="1" applyFill="1" applyBorder="1" applyAlignment="1">
      <alignment horizontal="left" vertical="center"/>
    </xf>
    <xf numFmtId="0" fontId="9" fillId="3" borderId="0" xfId="0" applyFont="1" applyFill="1" applyAlignment="1">
      <alignment horizontal="center"/>
    </xf>
    <xf numFmtId="0" fontId="5" fillId="4" borderId="0" xfId="0" applyFont="1" applyFill="1" applyAlignment="1">
      <alignment horizontal="center" vertical="center"/>
    </xf>
    <xf numFmtId="0" fontId="11" fillId="4" borderId="31" xfId="0" applyFont="1" applyFill="1" applyBorder="1" applyAlignment="1">
      <alignment horizontal="left" vertical="center" wrapText="1"/>
    </xf>
    <xf numFmtId="0" fontId="4" fillId="3" borderId="10" xfId="0" quotePrefix="1" applyFont="1" applyFill="1" applyBorder="1" applyAlignment="1">
      <alignment horizontal="left" vertical="center" wrapText="1"/>
    </xf>
    <xf numFmtId="0" fontId="11" fillId="4" borderId="42" xfId="0" applyFont="1" applyFill="1" applyBorder="1" applyAlignment="1">
      <alignment horizontal="left" vertical="center" wrapText="1"/>
    </xf>
    <xf numFmtId="0" fontId="11" fillId="4" borderId="43" xfId="0" applyFont="1" applyFill="1" applyBorder="1" applyAlignment="1">
      <alignment horizontal="left" vertical="center" wrapText="1"/>
    </xf>
    <xf numFmtId="0" fontId="11" fillId="4" borderId="42" xfId="0" applyFont="1" applyFill="1" applyBorder="1" applyAlignment="1">
      <alignment horizontal="left" vertical="center"/>
    </xf>
    <xf numFmtId="0" fontId="11" fillId="4" borderId="43" xfId="0" applyFont="1" applyFill="1" applyBorder="1" applyAlignment="1">
      <alignment horizontal="left" vertical="center"/>
    </xf>
    <xf numFmtId="0" fontId="2" fillId="3" borderId="9" xfId="0" applyFont="1" applyFill="1" applyBorder="1" applyAlignment="1">
      <alignment horizontal="left" vertical="center" wrapText="1"/>
    </xf>
    <xf numFmtId="0" fontId="2" fillId="3" borderId="10" xfId="0" applyFont="1" applyFill="1" applyBorder="1" applyAlignment="1">
      <alignment horizontal="left" vertical="center" wrapText="1"/>
    </xf>
    <xf numFmtId="0" fontId="2" fillId="3" borderId="11" xfId="0" applyFont="1" applyFill="1" applyBorder="1" applyAlignment="1">
      <alignment horizontal="left" vertical="center" wrapText="1"/>
    </xf>
    <xf numFmtId="0" fontId="3" fillId="2" borderId="14" xfId="0" applyFont="1" applyFill="1" applyBorder="1" applyAlignment="1">
      <alignment horizontal="center" vertical="center"/>
    </xf>
    <xf numFmtId="0" fontId="3" fillId="2" borderId="14" xfId="0" applyFont="1" applyFill="1" applyBorder="1" applyAlignment="1">
      <alignment horizontal="left" vertical="center"/>
    </xf>
    <xf numFmtId="49" fontId="2" fillId="3" borderId="4" xfId="0" applyNumberFormat="1" applyFont="1" applyFill="1" applyBorder="1" applyAlignment="1">
      <alignment horizontal="left" vertical="center"/>
    </xf>
    <xf numFmtId="49" fontId="2" fillId="3" borderId="45" xfId="0" applyNumberFormat="1" applyFont="1" applyFill="1" applyBorder="1" applyAlignment="1">
      <alignment horizontal="left" vertical="center"/>
    </xf>
    <xf numFmtId="0" fontId="2" fillId="3" borderId="9" xfId="0" quotePrefix="1" applyFont="1" applyFill="1" applyBorder="1" applyAlignment="1">
      <alignment horizontal="left" vertical="center" wrapText="1"/>
    </xf>
    <xf numFmtId="0" fontId="4" fillId="0" borderId="18" xfId="0" applyFont="1" applyBorder="1" applyAlignment="1">
      <alignment horizontal="left" wrapText="1"/>
    </xf>
    <xf numFmtId="0" fontId="0" fillId="0" borderId="26" xfId="0" applyBorder="1" applyAlignment="1">
      <alignment horizontal="left" vertical="center"/>
    </xf>
    <xf numFmtId="0" fontId="4" fillId="0" borderId="26" xfId="0" applyFont="1" applyBorder="1" applyAlignment="1">
      <alignment horizontal="left" wrapText="1"/>
    </xf>
    <xf numFmtId="0" fontId="4" fillId="0" borderId="26" xfId="0" applyFont="1" applyBorder="1" applyAlignment="1">
      <alignment vertical="center" wrapText="1"/>
    </xf>
    <xf numFmtId="0" fontId="2" fillId="3" borderId="46" xfId="0" applyFont="1" applyFill="1" applyBorder="1" applyAlignment="1">
      <alignment vertical="center"/>
    </xf>
    <xf numFmtId="0" fontId="2" fillId="3" borderId="26" xfId="0" applyFont="1" applyFill="1" applyBorder="1" applyAlignment="1">
      <alignment horizontal="center" vertical="center" wrapText="1"/>
    </xf>
    <xf numFmtId="0" fontId="2" fillId="8" borderId="26" xfId="0" applyFont="1" applyFill="1" applyBorder="1" applyAlignment="1">
      <alignment horizontal="center" vertical="center" wrapText="1"/>
    </xf>
    <xf numFmtId="0" fontId="4" fillId="0" borderId="26" xfId="0" applyFont="1" applyBorder="1" applyAlignment="1">
      <alignment horizontal="left" vertical="center" wrapText="1"/>
    </xf>
    <xf numFmtId="0" fontId="4" fillId="0" borderId="26" xfId="0" quotePrefix="1" applyFont="1" applyBorder="1" applyAlignment="1">
      <alignment vertical="center" wrapText="1"/>
    </xf>
    <xf numFmtId="0" fontId="4" fillId="0" borderId="18" xfId="0" quotePrefix="1" applyFont="1" applyBorder="1" applyAlignment="1">
      <alignment vertical="center" wrapText="1"/>
    </xf>
    <xf numFmtId="49" fontId="2" fillId="3" borderId="1" xfId="0" applyNumberFormat="1" applyFont="1" applyFill="1" applyBorder="1" applyAlignment="1">
      <alignment horizontal="left" vertical="center" wrapText="1"/>
    </xf>
    <xf numFmtId="49" fontId="2" fillId="3" borderId="2" xfId="0" applyNumberFormat="1" applyFont="1" applyFill="1" applyBorder="1" applyAlignment="1">
      <alignment horizontal="left" vertical="center" wrapText="1"/>
    </xf>
    <xf numFmtId="49" fontId="2" fillId="3" borderId="3" xfId="0" applyNumberFormat="1" applyFont="1" applyFill="1" applyBorder="1" applyAlignment="1">
      <alignment horizontal="left" vertical="center" wrapText="1"/>
    </xf>
    <xf numFmtId="0" fontId="3" fillId="2" borderId="0" xfId="0" applyFont="1" applyFill="1" applyAlignment="1">
      <alignment horizontal="left" vertical="center"/>
    </xf>
    <xf numFmtId="0" fontId="2" fillId="3" borderId="9" xfId="0" applyFont="1" applyFill="1" applyBorder="1" applyAlignment="1">
      <alignment horizontal="left" vertical="center"/>
    </xf>
    <xf numFmtId="0" fontId="2" fillId="3" borderId="10" xfId="0" applyFont="1" applyFill="1" applyBorder="1" applyAlignment="1">
      <alignment horizontal="left" vertical="center"/>
    </xf>
    <xf numFmtId="0" fontId="2" fillId="3" borderId="11" xfId="0" applyFont="1" applyFill="1" applyBorder="1" applyAlignment="1">
      <alignment horizontal="left" vertical="center"/>
    </xf>
    <xf numFmtId="0" fontId="2" fillId="3" borderId="1" xfId="0" applyFont="1" applyFill="1" applyBorder="1" applyAlignment="1">
      <alignment horizontal="left" vertical="center" wrapText="1"/>
    </xf>
    <xf numFmtId="0" fontId="2" fillId="3" borderId="2" xfId="0" applyFont="1" applyFill="1" applyBorder="1" applyAlignment="1">
      <alignment horizontal="left" vertical="center" wrapText="1"/>
    </xf>
    <xf numFmtId="0" fontId="2" fillId="3" borderId="3" xfId="0" applyFont="1" applyFill="1" applyBorder="1" applyAlignment="1">
      <alignment horizontal="left" vertical="center" wrapText="1"/>
    </xf>
    <xf numFmtId="0" fontId="2" fillId="3" borderId="6" xfId="0" applyFont="1" applyFill="1" applyBorder="1" applyAlignment="1">
      <alignment horizontal="left" vertical="center" wrapText="1"/>
    </xf>
    <xf numFmtId="0" fontId="2" fillId="3" borderId="7" xfId="0" applyFont="1" applyFill="1" applyBorder="1" applyAlignment="1">
      <alignment horizontal="left" vertical="center" wrapText="1"/>
    </xf>
    <xf numFmtId="0" fontId="2" fillId="3" borderId="8" xfId="0" applyFont="1" applyFill="1" applyBorder="1" applyAlignment="1">
      <alignment horizontal="left" vertical="center" wrapText="1"/>
    </xf>
    <xf numFmtId="49" fontId="2" fillId="3" borderId="6" xfId="0" applyNumberFormat="1" applyFont="1" applyFill="1" applyBorder="1" applyAlignment="1">
      <alignment horizontal="left" vertical="center"/>
    </xf>
    <xf numFmtId="49" fontId="2" fillId="3" borderId="7" xfId="0" applyNumberFormat="1" applyFont="1" applyFill="1" applyBorder="1" applyAlignment="1">
      <alignment horizontal="left" vertical="center"/>
    </xf>
    <xf numFmtId="49" fontId="2" fillId="3" borderId="8" xfId="0" applyNumberFormat="1" applyFont="1" applyFill="1" applyBorder="1" applyAlignment="1">
      <alignment horizontal="left" vertical="center"/>
    </xf>
    <xf numFmtId="0" fontId="16" fillId="3" borderId="6" xfId="1" applyFill="1" applyBorder="1" applyAlignment="1">
      <alignment horizontal="left" vertical="center"/>
    </xf>
    <xf numFmtId="0" fontId="2" fillId="3" borderId="7" xfId="0" applyFont="1" applyFill="1" applyBorder="1" applyAlignment="1">
      <alignment horizontal="left" vertical="center"/>
    </xf>
    <xf numFmtId="0" fontId="2" fillId="3" borderId="8" xfId="0" applyFont="1" applyFill="1" applyBorder="1" applyAlignment="1">
      <alignment horizontal="left" vertical="center"/>
    </xf>
    <xf numFmtId="164" fontId="2" fillId="3" borderId="1" xfId="0" applyNumberFormat="1" applyFont="1" applyFill="1" applyBorder="1" applyAlignment="1">
      <alignment horizontal="left" vertical="center" wrapText="1"/>
    </xf>
    <xf numFmtId="164" fontId="2" fillId="3" borderId="2" xfId="0" applyNumberFormat="1" applyFont="1" applyFill="1" applyBorder="1" applyAlignment="1">
      <alignment horizontal="left" vertical="center" wrapText="1"/>
    </xf>
    <xf numFmtId="164" fontId="2" fillId="3" borderId="3" xfId="0" applyNumberFormat="1" applyFont="1" applyFill="1" applyBorder="1" applyAlignment="1">
      <alignment horizontal="left" vertical="center" wrapText="1"/>
    </xf>
    <xf numFmtId="164" fontId="2" fillId="3" borderId="41" xfId="0" applyNumberFormat="1" applyFont="1" applyFill="1" applyBorder="1" applyAlignment="1">
      <alignment horizontal="left" vertical="center" wrapText="1"/>
    </xf>
    <xf numFmtId="0" fontId="2" fillId="3" borderId="4" xfId="0" applyFont="1" applyFill="1" applyBorder="1" applyAlignment="1">
      <alignment horizontal="left" vertical="center"/>
    </xf>
    <xf numFmtId="0" fontId="2" fillId="3" borderId="5" xfId="0" applyFont="1" applyFill="1" applyBorder="1" applyAlignment="1">
      <alignment horizontal="left" vertical="center"/>
    </xf>
    <xf numFmtId="0" fontId="2" fillId="3" borderId="6" xfId="0" applyFont="1" applyFill="1" applyBorder="1" applyAlignment="1">
      <alignment horizontal="left" vertical="center"/>
    </xf>
    <xf numFmtId="0" fontId="2" fillId="3" borderId="4" xfId="0" applyFont="1" applyFill="1" applyBorder="1" applyAlignment="1">
      <alignment horizontal="left" vertical="top"/>
    </xf>
    <xf numFmtId="0" fontId="2" fillId="3" borderId="5" xfId="0" applyFont="1" applyFill="1" applyBorder="1" applyAlignment="1">
      <alignment horizontal="left" vertical="top"/>
    </xf>
    <xf numFmtId="0" fontId="2" fillId="3" borderId="9" xfId="0" applyFont="1" applyFill="1" applyBorder="1" applyAlignment="1">
      <alignment horizontal="left" vertical="center" wrapText="1"/>
    </xf>
    <xf numFmtId="0" fontId="2" fillId="3" borderId="10" xfId="0" applyFont="1" applyFill="1" applyBorder="1" applyAlignment="1">
      <alignment horizontal="left" vertical="center" wrapText="1"/>
    </xf>
    <xf numFmtId="0" fontId="2" fillId="3" borderId="11" xfId="0" applyFont="1" applyFill="1" applyBorder="1" applyAlignment="1">
      <alignment horizontal="left" vertical="center" wrapText="1"/>
    </xf>
    <xf numFmtId="0" fontId="5" fillId="4" borderId="0" xfId="0" applyFont="1" applyFill="1" applyAlignment="1">
      <alignment horizontal="center" vertical="center"/>
    </xf>
    <xf numFmtId="0" fontId="9" fillId="3" borderId="0" xfId="0" applyFont="1" applyFill="1" applyAlignment="1">
      <alignment horizontal="center"/>
    </xf>
    <xf numFmtId="0" fontId="2" fillId="3" borderId="9" xfId="0" quotePrefix="1" applyFont="1" applyFill="1" applyBorder="1" applyAlignment="1">
      <alignment horizontal="left" vertical="center" wrapText="1"/>
    </xf>
    <xf numFmtId="0" fontId="3" fillId="2" borderId="14" xfId="0" applyFont="1" applyFill="1" applyBorder="1" applyAlignment="1">
      <alignment horizontal="center" vertical="center"/>
    </xf>
    <xf numFmtId="0" fontId="3" fillId="2" borderId="14" xfId="0" applyFont="1" applyFill="1" applyBorder="1" applyAlignment="1">
      <alignment horizontal="left" vertical="center"/>
    </xf>
    <xf numFmtId="49" fontId="2" fillId="3" borderId="4" xfId="0" applyNumberFormat="1" applyFont="1" applyFill="1" applyBorder="1" applyAlignment="1">
      <alignment horizontal="left" vertical="center"/>
    </xf>
    <xf numFmtId="49" fontId="2" fillId="3" borderId="45" xfId="0" applyNumberFormat="1" applyFont="1" applyFill="1" applyBorder="1" applyAlignment="1">
      <alignment horizontal="left" vertical="center"/>
    </xf>
    <xf numFmtId="0" fontId="11" fillId="4" borderId="31" xfId="0" applyFont="1" applyFill="1" applyBorder="1" applyAlignment="1">
      <alignment horizontal="left" vertical="center" wrapText="1"/>
    </xf>
    <xf numFmtId="0" fontId="4" fillId="3" borderId="1"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10" xfId="0" quotePrefix="1" applyFont="1" applyFill="1" applyBorder="1" applyAlignment="1">
      <alignment horizontal="left" vertical="center" wrapText="1"/>
    </xf>
    <xf numFmtId="0" fontId="4" fillId="3" borderId="10" xfId="0" applyFont="1" applyFill="1" applyBorder="1" applyAlignment="1">
      <alignment horizontal="left" vertical="center" wrapText="1"/>
    </xf>
    <xf numFmtId="0" fontId="4" fillId="3" borderId="11" xfId="0" applyFont="1" applyFill="1" applyBorder="1" applyAlignment="1">
      <alignment horizontal="left" vertical="center" wrapText="1"/>
    </xf>
    <xf numFmtId="0" fontId="4" fillId="3" borderId="1" xfId="0" applyFont="1" applyFill="1" applyBorder="1" applyAlignment="1">
      <alignment horizontal="left" vertical="center"/>
    </xf>
    <xf numFmtId="0" fontId="4" fillId="3" borderId="3" xfId="0" applyFont="1" applyFill="1" applyBorder="1" applyAlignment="1">
      <alignment horizontal="left" vertical="center"/>
    </xf>
    <xf numFmtId="49" fontId="4" fillId="3" borderId="1" xfId="0" quotePrefix="1" applyNumberFormat="1" applyFont="1" applyFill="1" applyBorder="1" applyAlignment="1">
      <alignment horizontal="left" vertical="center" wrapText="1"/>
    </xf>
    <xf numFmtId="49" fontId="4" fillId="3" borderId="3" xfId="0" quotePrefix="1" applyNumberFormat="1" applyFont="1" applyFill="1" applyBorder="1" applyAlignment="1">
      <alignment horizontal="left" vertical="center" wrapText="1"/>
    </xf>
    <xf numFmtId="0" fontId="11" fillId="4" borderId="42" xfId="0" applyFont="1" applyFill="1" applyBorder="1" applyAlignment="1">
      <alignment horizontal="left" vertical="center" wrapText="1"/>
    </xf>
    <xf numFmtId="0" fontId="11" fillId="4" borderId="43" xfId="0" applyFont="1" applyFill="1" applyBorder="1" applyAlignment="1">
      <alignment horizontal="left" vertical="center" wrapText="1"/>
    </xf>
    <xf numFmtId="0" fontId="11" fillId="4" borderId="42" xfId="0" applyFont="1" applyFill="1" applyBorder="1" applyAlignment="1">
      <alignment horizontal="left" vertical="center"/>
    </xf>
    <xf numFmtId="0" fontId="11" fillId="4" borderId="43" xfId="0" applyFont="1" applyFill="1" applyBorder="1" applyAlignment="1">
      <alignment horizontal="left" vertical="center"/>
    </xf>
    <xf numFmtId="0" fontId="4" fillId="3" borderId="19" xfId="0" applyFont="1" applyFill="1" applyBorder="1" applyAlignment="1">
      <alignment horizontal="left" vertical="center" wrapText="1"/>
    </xf>
    <xf numFmtId="0" fontId="4" fillId="3" borderId="40" xfId="0" applyFont="1" applyFill="1" applyBorder="1" applyAlignment="1">
      <alignment horizontal="left" vertical="center" wrapText="1"/>
    </xf>
    <xf numFmtId="0" fontId="4" fillId="3" borderId="44" xfId="0" applyFont="1" applyFill="1" applyBorder="1" applyAlignment="1">
      <alignment horizontal="left" vertical="center" wrapText="1"/>
    </xf>
    <xf numFmtId="0" fontId="11" fillId="7" borderId="40" xfId="0" applyFont="1" applyFill="1" applyBorder="1" applyAlignment="1">
      <alignment horizontal="left" vertical="center"/>
    </xf>
    <xf numFmtId="0" fontId="2" fillId="7" borderId="40" xfId="0" applyFont="1" applyFill="1" applyBorder="1" applyAlignment="1">
      <alignment horizontal="left" vertical="center"/>
    </xf>
    <xf numFmtId="0" fontId="2" fillId="6" borderId="40" xfId="0" applyFont="1" applyFill="1" applyBorder="1" applyAlignment="1">
      <alignment horizontal="left" vertical="center"/>
    </xf>
    <xf numFmtId="0" fontId="4" fillId="3" borderId="2" xfId="0" applyFont="1" applyFill="1" applyBorder="1" applyAlignment="1">
      <alignment horizontal="left" vertical="center" wrapText="1"/>
    </xf>
    <xf numFmtId="0" fontId="11" fillId="6" borderId="40" xfId="0" applyFont="1" applyFill="1" applyBorder="1" applyAlignment="1">
      <alignment horizontal="left" vertical="center"/>
    </xf>
    <xf numFmtId="0" fontId="4" fillId="3" borderId="9" xfId="0" applyFont="1" applyFill="1" applyBorder="1" applyAlignment="1">
      <alignment horizontal="left" vertical="center" wrapText="1"/>
    </xf>
    <xf numFmtId="0" fontId="4" fillId="3" borderId="19" xfId="0" quotePrefix="1" applyFont="1" applyFill="1" applyBorder="1" applyAlignment="1">
      <alignment horizontal="left" vertical="center" wrapText="1"/>
    </xf>
  </cellXfs>
  <cellStyles count="2">
    <cellStyle name="Hyperlink" xfId="1" builtinId="8"/>
    <cellStyle name="Normal" xfId="0" builtinId="0"/>
  </cellStyles>
  <dxfs count="84">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general" vertical="center" textRotation="0" wrapText="0" indent="0" justifyLastLine="0" shrinkToFit="0" readingOrder="0"/>
      <border diagonalUp="0" diagonalDown="0">
        <left/>
        <right style="thin">
          <color theme="0" tint="-0.14993743705557422"/>
        </right>
        <top style="thin">
          <color theme="0" tint="-0.14993743705557422"/>
        </top>
        <bottom style="thin">
          <color theme="0" tint="-0.14993743705557422"/>
        </bottom>
        <vertical/>
        <horizontal style="thin">
          <color theme="0" tint="-0.14993743705557422"/>
        </horizontal>
      </border>
    </dxf>
    <dxf>
      <font>
        <strike val="0"/>
        <outline val="0"/>
        <shadow val="0"/>
        <u val="none"/>
        <vertAlign val="baseline"/>
        <sz val="10"/>
        <color theme="1"/>
        <name val="Trebuchet MS"/>
        <scheme val="none"/>
      </font>
      <alignment horizontal="general"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strike val="0"/>
        <outline val="0"/>
        <shadow val="0"/>
        <u val="none"/>
        <vertAlign val="baseline"/>
        <sz val="10"/>
        <color theme="1"/>
        <name val="Trebuchet MS"/>
        <scheme val="none"/>
      </font>
      <alignment horizontal="left" vertical="bottom"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border diagonalUp="0" diagonalDown="0">
        <left style="thin">
          <color theme="0" tint="-0.14993743705557422"/>
        </left>
        <right style="thin">
          <color theme="0" tint="-0.14993743705557422"/>
        </right>
        <top style="thin">
          <color theme="0" tint="-0.14993743705557422"/>
        </top>
        <bottom style="thin">
          <color theme="0" tint="-0.14993743705557422"/>
        </bottom>
        <vertical style="thin">
          <color theme="0" tint="-0.14993743705557422"/>
        </vertical>
        <horizontal style="thin">
          <color theme="0" tint="-0.14993743705557422"/>
        </horizontal>
      </border>
    </dxf>
    <dxf>
      <font>
        <b val="0"/>
        <i val="0"/>
        <strike val="0"/>
        <condense val="0"/>
        <extend val="0"/>
        <outline val="0"/>
        <shadow val="0"/>
        <u val="none"/>
        <vertAlign val="baseline"/>
        <sz val="11"/>
        <color rgb="FF000000"/>
        <name val="Trebuchet MS"/>
        <scheme val="none"/>
      </font>
      <fill>
        <patternFill patternType="solid">
          <fgColor rgb="FF000000"/>
          <bgColor rgb="FFFFFFFF"/>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Trebuchet MS"/>
        <scheme val="none"/>
      </font>
      <fill>
        <patternFill patternType="solid">
          <fgColor indexed="64"/>
          <bgColor rgb="FF00B0F0"/>
        </patternFill>
      </fill>
      <alignment horizontal="center" vertical="center" textRotation="0" wrapText="0" indent="0" justifyLastLine="0" shrinkToFit="0" readingOrder="0"/>
      <border diagonalUp="0" diagonalDown="0" outline="0">
        <left style="thin">
          <color theme="0" tint="-0.1498764000366222"/>
        </left>
        <right style="thin">
          <color theme="0" tint="-0.1498764000366222"/>
        </right>
        <top/>
        <bottom/>
      </border>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general" vertical="center" textRotation="0" wrapText="0" indent="0" justifyLastLine="0" shrinkToFit="0" readingOrder="0"/>
      <border diagonalUp="0" diagonalDown="0">
        <left/>
        <right style="thin">
          <color theme="0" tint="-0.14993743705557422"/>
        </right>
        <top style="thin">
          <color theme="0" tint="-0.14993743705557422"/>
        </top>
        <bottom style="thin">
          <color theme="0" tint="-0.14993743705557422"/>
        </bottom>
        <vertical/>
        <horizontal style="thin">
          <color theme="0" tint="-0.14993743705557422"/>
        </horizontal>
      </border>
    </dxf>
    <dxf>
      <font>
        <strike val="0"/>
        <outline val="0"/>
        <shadow val="0"/>
        <u val="none"/>
        <vertAlign val="baseline"/>
        <sz val="10"/>
        <color theme="1"/>
        <name val="Trebuchet MS"/>
        <scheme val="none"/>
      </font>
      <alignment horizontal="general"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strike val="0"/>
        <outline val="0"/>
        <shadow val="0"/>
        <u val="none"/>
        <vertAlign val="baseline"/>
        <sz val="10"/>
        <color theme="1"/>
        <name val="Trebuchet MS"/>
        <scheme val="none"/>
      </font>
      <alignment horizontal="left" vertical="bottom"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border diagonalUp="0" diagonalDown="0">
        <left style="thin">
          <color theme="0" tint="-0.14993743705557422"/>
        </left>
        <right style="thin">
          <color theme="0" tint="-0.14993743705557422"/>
        </right>
        <top style="thin">
          <color theme="0" tint="-0.14993743705557422"/>
        </top>
        <bottom style="thin">
          <color theme="0" tint="-0.14993743705557422"/>
        </bottom>
        <vertical style="thin">
          <color theme="0" tint="-0.14993743705557422"/>
        </vertical>
        <horizontal style="thin">
          <color theme="0" tint="-0.14993743705557422"/>
        </horizontal>
      </border>
    </dxf>
    <dxf>
      <font>
        <b val="0"/>
        <i val="0"/>
        <strike val="0"/>
        <condense val="0"/>
        <extend val="0"/>
        <outline val="0"/>
        <shadow val="0"/>
        <u val="none"/>
        <vertAlign val="baseline"/>
        <sz val="11"/>
        <color rgb="FF000000"/>
        <name val="Trebuchet MS"/>
        <scheme val="none"/>
      </font>
      <fill>
        <patternFill patternType="solid">
          <fgColor rgb="FF000000"/>
          <bgColor rgb="FFFFFFFF"/>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Trebuchet MS"/>
        <scheme val="none"/>
      </font>
      <fill>
        <patternFill patternType="solid">
          <fgColor indexed="64"/>
          <bgColor rgb="FF00B0F0"/>
        </patternFill>
      </fill>
      <alignment horizontal="center" vertical="center" textRotation="0" wrapText="0" indent="0" justifyLastLine="0" shrinkToFit="0" readingOrder="0"/>
      <border diagonalUp="0" diagonalDown="0" outline="0">
        <left style="thin">
          <color theme="0" tint="-0.1498764000366222"/>
        </left>
        <right style="thin">
          <color theme="0" tint="-0.1498764000366222"/>
        </right>
        <top/>
        <bottom/>
      </border>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general" vertical="center" textRotation="0" wrapText="0" indent="0" justifyLastLine="0" shrinkToFit="0" readingOrder="0"/>
      <border diagonalUp="0" diagonalDown="0">
        <left/>
        <right style="thin">
          <color theme="0" tint="-0.14993743705557422"/>
        </right>
        <top style="thin">
          <color theme="0" tint="-0.14993743705557422"/>
        </top>
        <bottom style="thin">
          <color theme="0" tint="-0.14993743705557422"/>
        </bottom>
        <vertical/>
        <horizontal style="thin">
          <color theme="0" tint="-0.14993743705557422"/>
        </horizontal>
      </border>
    </dxf>
    <dxf>
      <font>
        <strike val="0"/>
        <outline val="0"/>
        <shadow val="0"/>
        <u val="none"/>
        <vertAlign val="baseline"/>
        <sz val="10"/>
        <color theme="1"/>
        <name val="Trebuchet MS"/>
        <scheme val="none"/>
      </font>
      <alignment horizontal="general"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strike val="0"/>
        <outline val="0"/>
        <shadow val="0"/>
        <u val="none"/>
        <vertAlign val="baseline"/>
        <sz val="10"/>
        <color theme="1"/>
        <name val="Trebuchet MS"/>
        <scheme val="none"/>
      </font>
      <alignment horizontal="left" vertical="bottom"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border diagonalUp="0" diagonalDown="0">
        <left style="thin">
          <color theme="0" tint="-0.14993743705557422"/>
        </left>
        <right style="thin">
          <color theme="0" tint="-0.14993743705557422"/>
        </right>
        <top style="thin">
          <color theme="0" tint="-0.14993743705557422"/>
        </top>
        <bottom style="thin">
          <color theme="0" tint="-0.14993743705557422"/>
        </bottom>
        <vertical style="thin">
          <color theme="0" tint="-0.14993743705557422"/>
        </vertical>
        <horizontal style="thin">
          <color theme="0" tint="-0.14993743705557422"/>
        </horizontal>
      </border>
    </dxf>
    <dxf>
      <font>
        <b val="0"/>
        <i val="0"/>
        <strike val="0"/>
        <condense val="0"/>
        <extend val="0"/>
        <outline val="0"/>
        <shadow val="0"/>
        <u val="none"/>
        <vertAlign val="baseline"/>
        <sz val="11"/>
        <color rgb="FF000000"/>
        <name val="Trebuchet MS"/>
        <scheme val="none"/>
      </font>
      <fill>
        <patternFill patternType="solid">
          <fgColor rgb="FF000000"/>
          <bgColor rgb="FFFFFFFF"/>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Trebuchet MS"/>
        <scheme val="none"/>
      </font>
      <fill>
        <patternFill patternType="solid">
          <fgColor indexed="64"/>
          <bgColor rgb="FF00B0F0"/>
        </patternFill>
      </fill>
      <alignment horizontal="center" vertical="center" textRotation="0" wrapText="0" indent="0" justifyLastLine="0" shrinkToFit="0" readingOrder="0"/>
      <border diagonalUp="0" diagonalDown="0" outline="0">
        <left style="thin">
          <color theme="0" tint="-0.1498764000366222"/>
        </left>
        <right style="thin">
          <color theme="0" tint="-0.1498764000366222"/>
        </right>
        <top/>
        <bottom/>
      </border>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general" vertical="center" textRotation="0" wrapText="0" indent="0" justifyLastLine="0" shrinkToFit="0" readingOrder="0"/>
      <border diagonalUp="0" diagonalDown="0">
        <left/>
        <right style="thin">
          <color theme="0" tint="-0.14993743705557422"/>
        </right>
        <top style="thin">
          <color theme="0" tint="-0.14993743705557422"/>
        </top>
        <bottom style="thin">
          <color theme="0" tint="-0.14993743705557422"/>
        </bottom>
        <vertical/>
        <horizontal style="thin">
          <color theme="0" tint="-0.14993743705557422"/>
        </horizontal>
      </border>
    </dxf>
    <dxf>
      <font>
        <strike val="0"/>
        <outline val="0"/>
        <shadow val="0"/>
        <u val="none"/>
        <vertAlign val="baseline"/>
        <sz val="10"/>
        <color theme="1"/>
        <name val="Trebuchet MS"/>
        <scheme val="none"/>
      </font>
      <alignment horizontal="general"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strike val="0"/>
        <outline val="0"/>
        <shadow val="0"/>
        <u val="none"/>
        <vertAlign val="baseline"/>
        <sz val="10"/>
        <color theme="1"/>
        <name val="Trebuchet MS"/>
        <scheme val="none"/>
      </font>
      <alignment horizontal="left" vertical="bottom"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border diagonalUp="0" diagonalDown="0">
        <left style="thin">
          <color theme="0" tint="-0.14993743705557422"/>
        </left>
        <right style="thin">
          <color theme="0" tint="-0.14993743705557422"/>
        </right>
        <top style="thin">
          <color theme="0" tint="-0.14993743705557422"/>
        </top>
        <bottom style="thin">
          <color theme="0" tint="-0.14993743705557422"/>
        </bottom>
        <vertical style="thin">
          <color theme="0" tint="-0.14993743705557422"/>
        </vertical>
        <horizontal style="thin">
          <color theme="0" tint="-0.14993743705557422"/>
        </horizontal>
      </border>
    </dxf>
    <dxf>
      <font>
        <b val="0"/>
        <i val="0"/>
        <strike val="0"/>
        <condense val="0"/>
        <extend val="0"/>
        <outline val="0"/>
        <shadow val="0"/>
        <u val="none"/>
        <vertAlign val="baseline"/>
        <sz val="11"/>
        <color theme="1"/>
        <name val="Trebuchet MS"/>
        <scheme val="none"/>
      </font>
      <fill>
        <patternFill patternType="solid">
          <fgColor indexed="64"/>
          <bgColor theme="0"/>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Trebuchet MS"/>
        <scheme val="none"/>
      </font>
      <fill>
        <patternFill patternType="solid">
          <fgColor indexed="64"/>
          <bgColor rgb="FF00B0F0"/>
        </patternFill>
      </fill>
      <alignment horizontal="center" vertical="center" textRotation="0" wrapText="0" indent="0" justifyLastLine="0" shrinkToFit="0" readingOrder="0"/>
      <border diagonalUp="0" diagonalDown="0" outline="0">
        <left style="thin">
          <color theme="0" tint="-0.1498764000366222"/>
        </left>
        <right style="thin">
          <color theme="0" tint="-0.1498764000366222"/>
        </right>
        <top/>
        <bottom/>
      </border>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1</xdr:row>
      <xdr:rowOff>0</xdr:rowOff>
    </xdr:from>
    <xdr:to>
      <xdr:col>1</xdr:col>
      <xdr:colOff>480060</xdr:colOff>
      <xdr:row>4</xdr:row>
      <xdr:rowOff>139845</xdr:rowOff>
    </xdr:to>
    <xdr:pic>
      <xdr:nvPicPr>
        <xdr:cNvPr id="2" name="Afbeelding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820" y="213360"/>
          <a:ext cx="1005840" cy="985665"/>
        </a:xfrm>
        <a:prstGeom prst="rect">
          <a:avLst/>
        </a:prstGeom>
      </xdr:spPr>
    </xdr:pic>
    <xdr:clientData/>
  </xdr:twoCellAnchor>
  <xdr:twoCellAnchor>
    <xdr:from>
      <xdr:col>10</xdr:col>
      <xdr:colOff>185057</xdr:colOff>
      <xdr:row>1</xdr:row>
      <xdr:rowOff>32657</xdr:rowOff>
    </xdr:from>
    <xdr:to>
      <xdr:col>12</xdr:col>
      <xdr:colOff>174171</xdr:colOff>
      <xdr:row>7</xdr:row>
      <xdr:rowOff>21772</xdr:rowOff>
    </xdr:to>
    <xdr:sp macro="" textlink="">
      <xdr:nvSpPr>
        <xdr:cNvPr id="3" name="Tekstvak 2">
          <a:extLst>
            <a:ext uri="{FF2B5EF4-FFF2-40B4-BE49-F238E27FC236}">
              <a16:creationId xmlns:a16="http://schemas.microsoft.com/office/drawing/2014/main" id="{00000000-0008-0000-0000-000003000000}"/>
            </a:ext>
          </a:extLst>
        </xdr:cNvPr>
        <xdr:cNvSpPr txBox="1"/>
      </xdr:nvSpPr>
      <xdr:spPr>
        <a:xfrm>
          <a:off x="6651171" y="468086"/>
          <a:ext cx="1273629"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Foto?</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238125</xdr:colOff>
      <xdr:row>0</xdr:row>
      <xdr:rowOff>60960</xdr:rowOff>
    </xdr:from>
    <xdr:to>
      <xdr:col>1</xdr:col>
      <xdr:colOff>958994</xdr:colOff>
      <xdr:row>3</xdr:row>
      <xdr:rowOff>108585</xdr:rowOff>
    </xdr:to>
    <xdr:pic>
      <xdr:nvPicPr>
        <xdr:cNvPr id="2" name="Afbeelding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60960"/>
          <a:ext cx="720869" cy="687705"/>
        </a:xfrm>
        <a:prstGeom prst="rect">
          <a:avLst/>
        </a:prstGeom>
      </xdr:spPr>
    </xdr:pic>
    <xdr:clientData/>
  </xdr:twoCellAnchor>
  <xdr:twoCellAnchor>
    <xdr:from>
      <xdr:col>1</xdr:col>
      <xdr:colOff>1116330</xdr:colOff>
      <xdr:row>0</xdr:row>
      <xdr:rowOff>160020</xdr:rowOff>
    </xdr:from>
    <xdr:to>
      <xdr:col>2</xdr:col>
      <xdr:colOff>1849755</xdr:colOff>
      <xdr:row>3</xdr:row>
      <xdr:rowOff>169545</xdr:rowOff>
    </xdr:to>
    <xdr:sp macro="" textlink="">
      <xdr:nvSpPr>
        <xdr:cNvPr id="4" name="Tekstvak 3">
          <a:extLst>
            <a:ext uri="{FF2B5EF4-FFF2-40B4-BE49-F238E27FC236}">
              <a16:creationId xmlns:a16="http://schemas.microsoft.com/office/drawing/2014/main" id="{00000000-0008-0000-0200-000004000000}"/>
            </a:ext>
          </a:extLst>
        </xdr:cNvPr>
        <xdr:cNvSpPr txBox="1"/>
      </xdr:nvSpPr>
      <xdr:spPr>
        <a:xfrm>
          <a:off x="1116330" y="160020"/>
          <a:ext cx="3194685" cy="6496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latin typeface="Trebuchet MS" panose="020B0603020202020204" pitchFamily="34" charset="0"/>
            </a:rPr>
            <a:t>Persoonlijk Ontwikkelingsplan</a:t>
          </a:r>
        </a:p>
      </xdr:txBody>
    </xdr:sp>
    <xdr:clientData/>
  </xdr:twoCellAnchor>
  <xdr:twoCellAnchor editAs="absolute">
    <xdr:from>
      <xdr:col>0</xdr:col>
      <xdr:colOff>0</xdr:colOff>
      <xdr:row>63</xdr:row>
      <xdr:rowOff>62866</xdr:rowOff>
    </xdr:from>
    <xdr:to>
      <xdr:col>1</xdr:col>
      <xdr:colOff>1828800</xdr:colOff>
      <xdr:row>75</xdr:row>
      <xdr:rowOff>121921</xdr:rowOff>
    </xdr:to>
    <mc:AlternateContent xmlns:mc="http://schemas.openxmlformats.org/markup-compatibility/2006" xmlns:sle15="http://schemas.microsoft.com/office/drawing/2012/slicer">
      <mc:Choice Requires="sle15">
        <xdr:graphicFrame macro="">
          <xdr:nvGraphicFramePr>
            <xdr:cNvPr id="6" name="Kies je afdeling">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Kies je afdeling"/>
            </a:graphicData>
          </a:graphic>
        </xdr:graphicFrame>
      </mc:Choice>
      <mc:Fallback xmlns="">
        <xdr:sp macro="" textlink="">
          <xdr:nvSpPr>
            <xdr:cNvPr id="0" name=""/>
            <xdr:cNvSpPr>
              <a:spLocks noTextEdit="1"/>
            </xdr:cNvSpPr>
          </xdr:nvSpPr>
          <xdr:spPr>
            <a:xfrm>
              <a:off x="0" y="30779933"/>
              <a:ext cx="1828800" cy="2294255"/>
            </a:xfrm>
            <a:prstGeom prst="rect">
              <a:avLst/>
            </a:prstGeom>
            <a:solidFill>
              <a:prstClr val="white"/>
            </a:solidFill>
            <a:ln w="1">
              <a:solidFill>
                <a:prstClr val="green"/>
              </a:solidFill>
            </a:ln>
          </xdr:spPr>
          <xdr:txBody>
            <a:bodyPr vertOverflow="clip" horzOverflow="clip"/>
            <a:lstStyle/>
            <a:p>
              <a:r>
                <a:rPr lang="nl-BE" sz="1100"/>
                <a:t>Deze vorm vertegenwoordigt een tabelslicer. Tabelslicers worden niet ondersteund in deze versie van Excel.
De slicer kan niet worden gebruikt als de vorm is gewijzigd in een eerdere versie van Excel of als de werkmap is opgeslagen in Excel 2007 of eerder.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322791</xdr:colOff>
      <xdr:row>0</xdr:row>
      <xdr:rowOff>35560</xdr:rowOff>
    </xdr:from>
    <xdr:to>
      <xdr:col>1</xdr:col>
      <xdr:colOff>1043660</xdr:colOff>
      <xdr:row>3</xdr:row>
      <xdr:rowOff>83185</xdr:rowOff>
    </xdr:to>
    <xdr:pic>
      <xdr:nvPicPr>
        <xdr:cNvPr id="2" name="Afbeelding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2791" y="35560"/>
          <a:ext cx="720869" cy="682625"/>
        </a:xfrm>
        <a:prstGeom prst="rect">
          <a:avLst/>
        </a:prstGeom>
      </xdr:spPr>
    </xdr:pic>
    <xdr:clientData/>
  </xdr:twoCellAnchor>
  <xdr:twoCellAnchor>
    <xdr:from>
      <xdr:col>1</xdr:col>
      <xdr:colOff>1116330</xdr:colOff>
      <xdr:row>0</xdr:row>
      <xdr:rowOff>160020</xdr:rowOff>
    </xdr:from>
    <xdr:to>
      <xdr:col>2</xdr:col>
      <xdr:colOff>1849755</xdr:colOff>
      <xdr:row>3</xdr:row>
      <xdr:rowOff>169545</xdr:rowOff>
    </xdr:to>
    <xdr:sp macro="" textlink="">
      <xdr:nvSpPr>
        <xdr:cNvPr id="3" name="Tekstvak 2">
          <a:extLst>
            <a:ext uri="{FF2B5EF4-FFF2-40B4-BE49-F238E27FC236}">
              <a16:creationId xmlns:a16="http://schemas.microsoft.com/office/drawing/2014/main" id="{00000000-0008-0000-0300-000003000000}"/>
            </a:ext>
          </a:extLst>
        </xdr:cNvPr>
        <xdr:cNvSpPr txBox="1"/>
      </xdr:nvSpPr>
      <xdr:spPr>
        <a:xfrm>
          <a:off x="1116330" y="160020"/>
          <a:ext cx="3194685" cy="6496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latin typeface="Trebuchet MS" panose="020B0603020202020204" pitchFamily="34" charset="0"/>
            </a:rPr>
            <a:t>Persoonlijk Ontwikkelingsplan</a:t>
          </a:r>
        </a:p>
      </xdr:txBody>
    </xdr:sp>
    <xdr:clientData/>
  </xdr:twoCellAnchor>
  <xdr:twoCellAnchor editAs="absolute">
    <xdr:from>
      <xdr:col>1</xdr:col>
      <xdr:colOff>48260</xdr:colOff>
      <xdr:row>63</xdr:row>
      <xdr:rowOff>89959</xdr:rowOff>
    </xdr:from>
    <xdr:to>
      <xdr:col>1</xdr:col>
      <xdr:colOff>1877060</xdr:colOff>
      <xdr:row>75</xdr:row>
      <xdr:rowOff>149014</xdr:rowOff>
    </xdr:to>
    <mc:AlternateContent xmlns:mc="http://schemas.openxmlformats.org/markup-compatibility/2006" xmlns:sle15="http://schemas.microsoft.com/office/drawing/2012/slicer">
      <mc:Choice Requires="sle15">
        <xdr:graphicFrame macro="">
          <xdr:nvGraphicFramePr>
            <xdr:cNvPr id="4" name="Kies je afdeling 2">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Kies je afdeling 2"/>
            </a:graphicData>
          </a:graphic>
        </xdr:graphicFrame>
      </mc:Choice>
      <mc:Fallback xmlns="">
        <xdr:sp macro="" textlink="">
          <xdr:nvSpPr>
            <xdr:cNvPr id="0" name=""/>
            <xdr:cNvSpPr>
              <a:spLocks noTextEdit="1"/>
            </xdr:cNvSpPr>
          </xdr:nvSpPr>
          <xdr:spPr>
            <a:xfrm>
              <a:off x="48260" y="31103359"/>
              <a:ext cx="1828800" cy="2253615"/>
            </a:xfrm>
            <a:prstGeom prst="rect">
              <a:avLst/>
            </a:prstGeom>
            <a:solidFill>
              <a:prstClr val="white"/>
            </a:solidFill>
            <a:ln w="1">
              <a:solidFill>
                <a:prstClr val="green"/>
              </a:solidFill>
            </a:ln>
          </xdr:spPr>
          <xdr:txBody>
            <a:bodyPr vertOverflow="clip" horzOverflow="clip"/>
            <a:lstStyle/>
            <a:p>
              <a:r>
                <a:rPr lang="nl-BE" sz="1100"/>
                <a:t>Deze vorm vertegenwoordigt een tabelslicer. Tabelslicers worden niet ondersteund in deze versie van Excel.
De slicer kan niet worden gebruikt als de vorm is gewijzigd in een eerdere versie van Excel of als de werkmap is opgeslagen in Excel 2007 of eerder.</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238125</xdr:colOff>
      <xdr:row>0</xdr:row>
      <xdr:rowOff>60960</xdr:rowOff>
    </xdr:from>
    <xdr:to>
      <xdr:col>1</xdr:col>
      <xdr:colOff>958994</xdr:colOff>
      <xdr:row>3</xdr:row>
      <xdr:rowOff>108585</xdr:rowOff>
    </xdr:to>
    <xdr:pic>
      <xdr:nvPicPr>
        <xdr:cNvPr id="2" name="Afbeelding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60960"/>
          <a:ext cx="720869" cy="687705"/>
        </a:xfrm>
        <a:prstGeom prst="rect">
          <a:avLst/>
        </a:prstGeom>
      </xdr:spPr>
    </xdr:pic>
    <xdr:clientData/>
  </xdr:twoCellAnchor>
  <xdr:twoCellAnchor>
    <xdr:from>
      <xdr:col>1</xdr:col>
      <xdr:colOff>1116330</xdr:colOff>
      <xdr:row>0</xdr:row>
      <xdr:rowOff>160020</xdr:rowOff>
    </xdr:from>
    <xdr:to>
      <xdr:col>2</xdr:col>
      <xdr:colOff>1849755</xdr:colOff>
      <xdr:row>3</xdr:row>
      <xdr:rowOff>169545</xdr:rowOff>
    </xdr:to>
    <xdr:sp macro="" textlink="">
      <xdr:nvSpPr>
        <xdr:cNvPr id="3" name="Tekstvak 2">
          <a:extLst>
            <a:ext uri="{FF2B5EF4-FFF2-40B4-BE49-F238E27FC236}">
              <a16:creationId xmlns:a16="http://schemas.microsoft.com/office/drawing/2014/main" id="{00000000-0008-0000-0500-000003000000}"/>
            </a:ext>
          </a:extLst>
        </xdr:cNvPr>
        <xdr:cNvSpPr txBox="1"/>
      </xdr:nvSpPr>
      <xdr:spPr>
        <a:xfrm>
          <a:off x="1116330" y="160020"/>
          <a:ext cx="3194685" cy="6496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latin typeface="Trebuchet MS" panose="020B0603020202020204" pitchFamily="34" charset="0"/>
            </a:rPr>
            <a:t>Persoonlijk Ontwikkelingsplan</a:t>
          </a:r>
        </a:p>
      </xdr:txBody>
    </xdr:sp>
    <xdr:clientData/>
  </xdr:twoCellAnchor>
  <xdr:twoCellAnchor editAs="absolute">
    <xdr:from>
      <xdr:col>1</xdr:col>
      <xdr:colOff>148166</xdr:colOff>
      <xdr:row>63</xdr:row>
      <xdr:rowOff>29001</xdr:rowOff>
    </xdr:from>
    <xdr:to>
      <xdr:col>1</xdr:col>
      <xdr:colOff>1976966</xdr:colOff>
      <xdr:row>75</xdr:row>
      <xdr:rowOff>88056</xdr:rowOff>
    </xdr:to>
    <mc:AlternateContent xmlns:mc="http://schemas.openxmlformats.org/markup-compatibility/2006" xmlns:sle15="http://schemas.microsoft.com/office/drawing/2012/slicer">
      <mc:Choice Requires="sle15">
        <xdr:graphicFrame macro="">
          <xdr:nvGraphicFramePr>
            <xdr:cNvPr id="4" name="Kies je afdeling 9">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Kies je afdeling 9"/>
            </a:graphicData>
          </a:graphic>
        </xdr:graphicFrame>
      </mc:Choice>
      <mc:Fallback xmlns="">
        <xdr:sp macro="" textlink="">
          <xdr:nvSpPr>
            <xdr:cNvPr id="0" name=""/>
            <xdr:cNvSpPr>
              <a:spLocks noTextEdit="1"/>
            </xdr:cNvSpPr>
          </xdr:nvSpPr>
          <xdr:spPr>
            <a:xfrm>
              <a:off x="148166" y="31398001"/>
              <a:ext cx="1828800" cy="2294255"/>
            </a:xfrm>
            <a:prstGeom prst="rect">
              <a:avLst/>
            </a:prstGeom>
            <a:solidFill>
              <a:prstClr val="white"/>
            </a:solidFill>
            <a:ln w="1">
              <a:solidFill>
                <a:prstClr val="green"/>
              </a:solidFill>
            </a:ln>
          </xdr:spPr>
          <xdr:txBody>
            <a:bodyPr vertOverflow="clip" horzOverflow="clip"/>
            <a:lstStyle/>
            <a:p>
              <a:r>
                <a:rPr lang="nl-BE" sz="1100"/>
                <a:t>Deze vorm vertegenwoordigt een tabelslicer. Tabelslicers worden niet ondersteund in deze versie van Excel.
De slicer kan niet worden gebruikt als de vorm is gewijzigd in een eerdere versie van Excel of als de werkmap is opgeslagen in Excel 2007 of eerder.</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255058</xdr:colOff>
      <xdr:row>0</xdr:row>
      <xdr:rowOff>27094</xdr:rowOff>
    </xdr:from>
    <xdr:to>
      <xdr:col>1</xdr:col>
      <xdr:colOff>975927</xdr:colOff>
      <xdr:row>3</xdr:row>
      <xdr:rowOff>74719</xdr:rowOff>
    </xdr:to>
    <xdr:pic>
      <xdr:nvPicPr>
        <xdr:cNvPr id="2" name="Afbeelding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5058" y="27094"/>
          <a:ext cx="720869" cy="682625"/>
        </a:xfrm>
        <a:prstGeom prst="rect">
          <a:avLst/>
        </a:prstGeom>
      </xdr:spPr>
    </xdr:pic>
    <xdr:clientData/>
  </xdr:twoCellAnchor>
  <xdr:twoCellAnchor>
    <xdr:from>
      <xdr:col>1</xdr:col>
      <xdr:colOff>1116330</xdr:colOff>
      <xdr:row>0</xdr:row>
      <xdr:rowOff>160020</xdr:rowOff>
    </xdr:from>
    <xdr:to>
      <xdr:col>2</xdr:col>
      <xdr:colOff>1849755</xdr:colOff>
      <xdr:row>3</xdr:row>
      <xdr:rowOff>169545</xdr:rowOff>
    </xdr:to>
    <xdr:sp macro="" textlink="">
      <xdr:nvSpPr>
        <xdr:cNvPr id="3" name="Tekstvak 2">
          <a:extLst>
            <a:ext uri="{FF2B5EF4-FFF2-40B4-BE49-F238E27FC236}">
              <a16:creationId xmlns:a16="http://schemas.microsoft.com/office/drawing/2014/main" id="{00000000-0008-0000-0600-000003000000}"/>
            </a:ext>
          </a:extLst>
        </xdr:cNvPr>
        <xdr:cNvSpPr txBox="1"/>
      </xdr:nvSpPr>
      <xdr:spPr>
        <a:xfrm>
          <a:off x="1116330" y="160020"/>
          <a:ext cx="3194685" cy="6496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latin typeface="Trebuchet MS" panose="020B0603020202020204" pitchFamily="34" charset="0"/>
            </a:rPr>
            <a:t>Persoonlijk Ontwikkelingsplan</a:t>
          </a:r>
        </a:p>
      </xdr:txBody>
    </xdr:sp>
    <xdr:clientData/>
  </xdr:twoCellAnchor>
  <xdr:twoCellAnchor editAs="absolute">
    <xdr:from>
      <xdr:col>1</xdr:col>
      <xdr:colOff>156633</xdr:colOff>
      <xdr:row>62</xdr:row>
      <xdr:rowOff>45933</xdr:rowOff>
    </xdr:from>
    <xdr:to>
      <xdr:col>1</xdr:col>
      <xdr:colOff>1985433</xdr:colOff>
      <xdr:row>74</xdr:row>
      <xdr:rowOff>104988</xdr:rowOff>
    </xdr:to>
    <mc:AlternateContent xmlns:mc="http://schemas.openxmlformats.org/markup-compatibility/2006" xmlns:sle15="http://schemas.microsoft.com/office/drawing/2012/slicer">
      <mc:Choice Requires="sle15">
        <xdr:graphicFrame macro="">
          <xdr:nvGraphicFramePr>
            <xdr:cNvPr id="4" name="Kies je afdeling 12">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Kies je afdeling 12"/>
            </a:graphicData>
          </a:graphic>
        </xdr:graphicFrame>
      </mc:Choice>
      <mc:Fallback xmlns="">
        <xdr:sp macro="" textlink="">
          <xdr:nvSpPr>
            <xdr:cNvPr id="0" name=""/>
            <xdr:cNvSpPr>
              <a:spLocks noTextEdit="1"/>
            </xdr:cNvSpPr>
          </xdr:nvSpPr>
          <xdr:spPr>
            <a:xfrm>
              <a:off x="156633" y="29493000"/>
              <a:ext cx="1828800" cy="2294255"/>
            </a:xfrm>
            <a:prstGeom prst="rect">
              <a:avLst/>
            </a:prstGeom>
            <a:solidFill>
              <a:prstClr val="white"/>
            </a:solidFill>
            <a:ln w="1">
              <a:solidFill>
                <a:prstClr val="green"/>
              </a:solidFill>
            </a:ln>
          </xdr:spPr>
          <xdr:txBody>
            <a:bodyPr vertOverflow="clip" horzOverflow="clip"/>
            <a:lstStyle/>
            <a:p>
              <a:r>
                <a:rPr lang="nl-BE" sz="1100"/>
                <a:t>Deze shape vertegenwoordigt een tabelslicer. Tabelslicers worden ondersteund in Excel of hoger.
De slicer kan niet worden gebruikt als de shape is gewijzigd in een eerdere Excel-versie of als de werkmap is opgeslagen in Excel 2007 of eerder.</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ies_je_afdeling" xr10:uid="{00000000-0013-0000-FFFF-FFFF01000000}" sourceName="Kies je afdeling">
  <extLst>
    <x:ext xmlns:x15="http://schemas.microsoft.com/office/spreadsheetml/2010/11/main" uri="{2F2917AC-EB37-4324-AD4E-5DD8C200BD13}">
      <x15:tableSlicerCache tableId="4"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ies_je_afdeling2" xr10:uid="{00000000-0013-0000-FFFF-FFFF02000000}" sourceName="Kies je afdeling">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ies_je_afdeling211" xr10:uid="{00000000-0013-0000-FFFF-FFFF03000000}" sourceName="Kies je afdeling">
  <extLst>
    <x:ext xmlns:x15="http://schemas.microsoft.com/office/spreadsheetml/2010/11/main" uri="{2F2917AC-EB37-4324-AD4E-5DD8C200BD13}">
      <x15:tableSlicerCache tableId="7"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ies_je_afdeling2111" xr10:uid="{00000000-0013-0000-FFFF-FFFF04000000}" sourceName="Kies je afdeling">
  <extLst>
    <x:ext xmlns:x15="http://schemas.microsoft.com/office/spreadsheetml/2010/11/main" uri="{2F2917AC-EB37-4324-AD4E-5DD8C200BD13}">
      <x15:tableSlicerCache tableId="9"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ies je afdeling" xr10:uid="{00000000-0014-0000-FFFF-FFFF01000000}" cache="Slicer_Kies_je_afdeling" caption="Kies je afdeling" startItem="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ies je afdeling 2" xr10:uid="{00000000-0014-0000-FFFF-FFFF02000000}" cache="Slicer_Kies_je_afdeling2" caption="Kies je afdeling"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ies je afdeling 9" xr10:uid="{00000000-0014-0000-FFFF-FFFF03000000}" cache="Slicer_Kies_je_afdeling211" caption="Kies je afdeling" startItem="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ies je afdeling 12" xr10:uid="{00000000-0014-0000-FFFF-FFFF04000000}" cache="Slicer_Kies_je_afdeling2111" caption="Kies je afdeling"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el4" displayName="Tabel4" ref="A77:I156" totalsRowShown="0" headerRowDxfId="73" dataDxfId="72">
  <autoFilter ref="A77:I156" xr:uid="{00000000-0009-0000-0100-000004000000}">
    <filterColumn colId="0">
      <filters>
        <filter val="Recyclage RAS"/>
      </filters>
    </filterColumn>
  </autoFilter>
  <tableColumns count="9">
    <tableColumn id="1" xr3:uid="{00000000-0010-0000-0000-000001000000}" name="Kies je afdeling" dataDxfId="71"/>
    <tableColumn id="2" xr3:uid="{00000000-0010-0000-0000-000002000000}" name="Technische competenties" dataDxfId="70"/>
    <tableColumn id="3" xr3:uid="{00000000-0010-0000-0000-000003000000}" name="Indicatoren" dataDxfId="69"/>
    <tableColumn id="4" xr3:uid="{00000000-0010-0000-0000-000004000000}" name="Kolom1" dataDxfId="68"/>
    <tableColumn id="5" xr3:uid="{00000000-0010-0000-0000-000005000000}" name="20192" dataDxfId="67"/>
    <tableColumn id="6" xr3:uid="{00000000-0010-0000-0000-000006000000}" name="20202" dataDxfId="66"/>
    <tableColumn id="7" xr3:uid="{00000000-0010-0000-0000-000007000000}" name="20212" dataDxfId="65"/>
    <tableColumn id="8" xr3:uid="{00000000-0010-0000-0000-000008000000}" name="20222" dataDxfId="64"/>
    <tableColumn id="9" xr3:uid="{00000000-0010-0000-0000-000009000000}" name="2023" dataDxfId="63"/>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42" displayName="Tabel42" ref="A77:I156" totalsRowShown="0" headerRowDxfId="52" dataDxfId="51">
  <autoFilter ref="A77:I156" xr:uid="{00000000-0009-0000-0100-000001000000}">
    <filterColumn colId="0">
      <filters>
        <filter val="Recyclage RAS"/>
      </filters>
    </filterColumn>
  </autoFilter>
  <tableColumns count="9">
    <tableColumn id="1" xr3:uid="{00000000-0010-0000-0100-000001000000}" name="Kies je afdeling" dataDxfId="50"/>
    <tableColumn id="2" xr3:uid="{00000000-0010-0000-0100-000002000000}" name="Technische competenties" dataDxfId="49"/>
    <tableColumn id="3" xr3:uid="{00000000-0010-0000-0100-000003000000}" name="Indicatoren" dataDxfId="48"/>
    <tableColumn id="4" xr3:uid="{00000000-0010-0000-0100-000004000000}" name="Kolom1" dataDxfId="47"/>
    <tableColumn id="5" xr3:uid="{00000000-0010-0000-0100-000005000000}" name="20192" dataDxfId="46">
      <calculatedColumnFormula>Tabel4[[#This Row],[20192]]</calculatedColumnFormula>
    </tableColumn>
    <tableColumn id="6" xr3:uid="{00000000-0010-0000-0100-000006000000}" name="20202" dataDxfId="45"/>
    <tableColumn id="7" xr3:uid="{00000000-0010-0000-0100-000007000000}" name="20212" dataDxfId="44"/>
    <tableColumn id="8" xr3:uid="{00000000-0010-0000-0100-000008000000}" name="20222" dataDxfId="43"/>
    <tableColumn id="9" xr3:uid="{00000000-0010-0000-0100-000009000000}" name="2023" dataDxfId="4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el4268" displayName="Tabel4268" ref="A77:I156" totalsRowShown="0" headerRowDxfId="31" dataDxfId="30">
  <autoFilter ref="A77:I156" xr:uid="{00000000-0009-0000-0100-000007000000}">
    <filterColumn colId="0">
      <filters>
        <filter val="Recyclage backcup"/>
      </filters>
    </filterColumn>
  </autoFilter>
  <tableColumns count="9">
    <tableColumn id="1" xr3:uid="{00000000-0010-0000-0200-000001000000}" name="Kies je afdeling" dataDxfId="29"/>
    <tableColumn id="2" xr3:uid="{00000000-0010-0000-0200-000002000000}" name="Technische competenties" dataDxfId="28"/>
    <tableColumn id="3" xr3:uid="{00000000-0010-0000-0200-000003000000}" name="Indicatoren" dataDxfId="27"/>
    <tableColumn id="4" xr3:uid="{00000000-0010-0000-0200-000004000000}" name="Kolom1" dataDxfId="26"/>
    <tableColumn id="5" xr3:uid="{00000000-0010-0000-0200-000005000000}" name="2019" dataDxfId="25">
      <calculatedColumnFormula>Tabel4[[#This Row],[20192]]</calculatedColumnFormula>
    </tableColumn>
    <tableColumn id="6" xr3:uid="{00000000-0010-0000-0200-000006000000}" name="2020" dataDxfId="24">
      <calculatedColumnFormula>Tabel42[[#This Row],[20202]]</calculatedColumnFormula>
    </tableColumn>
    <tableColumn id="7" xr3:uid="{00000000-0010-0000-0200-000007000000}" name="2021" dataDxfId="23"/>
    <tableColumn id="8" xr3:uid="{00000000-0010-0000-0200-000008000000}" name="2022" dataDxfId="22"/>
    <tableColumn id="9" xr3:uid="{00000000-0010-0000-0200-000009000000}" name="2023" dataDxfId="2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el426810" displayName="Tabel426810" ref="A76:I143" totalsRowShown="0" headerRowDxfId="10" dataDxfId="9">
  <autoFilter ref="A76:I143" xr:uid="{00000000-0009-0000-0100-000009000000}">
    <filterColumn colId="0">
      <filters>
        <filter val="Recyclage RAS"/>
      </filters>
    </filterColumn>
  </autoFilter>
  <tableColumns count="9">
    <tableColumn id="1" xr3:uid="{00000000-0010-0000-0300-000001000000}" name="Kies je afdeling" dataDxfId="8"/>
    <tableColumn id="2" xr3:uid="{00000000-0010-0000-0300-000002000000}" name="Technische competenties" dataDxfId="7"/>
    <tableColumn id="3" xr3:uid="{00000000-0010-0000-0300-000003000000}" name="Indicatoren" dataDxfId="6"/>
    <tableColumn id="4" xr3:uid="{00000000-0010-0000-0300-000004000000}" name="Kolom1" dataDxfId="5"/>
    <tableColumn id="5" xr3:uid="{00000000-0010-0000-0300-000005000000}" name="20192" dataDxfId="4">
      <calculatedColumnFormula>Tabel4[[#This Row],[20192]]</calculatedColumnFormula>
    </tableColumn>
    <tableColumn id="6" xr3:uid="{00000000-0010-0000-0300-000006000000}" name="20202" dataDxfId="3">
      <calculatedColumnFormula>Tabel42[[#This Row],[20202]]</calculatedColumnFormula>
    </tableColumn>
    <tableColumn id="7" xr3:uid="{00000000-0010-0000-0300-000007000000}" name="20212" dataDxfId="2"/>
    <tableColumn id="8" xr3:uid="{00000000-0010-0000-0300-000008000000}" name="20222" dataDxfId="1">
      <calculatedColumnFormula>Tabel4268[[#This Row],[2022]]</calculatedColumnFormula>
    </tableColumn>
    <tableColumn id="9" xr3:uid="{00000000-0010-0000-0300-000009000000}" name="2023" dataDxfId="0"/>
  </tableColumns>
  <tableStyleInfo name="TableStyleLight9"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2:O23"/>
  <sheetViews>
    <sheetView topLeftCell="A9" zoomScaleNormal="100" zoomScalePageLayoutView="70" workbookViewId="0">
      <selection activeCell="L20" sqref="L20:O21"/>
    </sheetView>
  </sheetViews>
  <sheetFormatPr defaultColWidth="8.85546875" defaultRowHeight="16.899999999999999" customHeight="1"/>
  <cols>
    <col min="1" max="2" width="8.85546875" style="2"/>
    <col min="3" max="3" width="9.5703125" style="2" customWidth="1"/>
    <col min="4" max="16384" width="8.85546875" style="2"/>
  </cols>
  <sheetData>
    <row r="2" spans="1:15" ht="16.899999999999999" customHeight="1">
      <c r="C2" s="134" t="s">
        <v>0</v>
      </c>
      <c r="D2" s="134"/>
      <c r="E2" s="134"/>
      <c r="F2" s="134"/>
      <c r="G2" s="134"/>
      <c r="H2" s="134"/>
      <c r="I2" s="134"/>
    </row>
    <row r="3" spans="1:15" ht="16.899999999999999" customHeight="1">
      <c r="C3" s="154" t="s">
        <v>1</v>
      </c>
      <c r="D3" s="155"/>
      <c r="E3" s="155"/>
      <c r="F3" s="156"/>
      <c r="G3" s="148"/>
      <c r="H3" s="148"/>
      <c r="I3" s="149"/>
    </row>
    <row r="4" spans="1:15" ht="33" customHeight="1">
      <c r="C4" s="157" t="s">
        <v>2</v>
      </c>
      <c r="D4" s="158"/>
      <c r="E4" s="158"/>
      <c r="F4" s="141"/>
      <c r="G4" s="142"/>
      <c r="H4" s="142"/>
      <c r="I4" s="143"/>
    </row>
    <row r="5" spans="1:15" ht="16.899999999999999" customHeight="1">
      <c r="C5" s="154" t="s">
        <v>3</v>
      </c>
      <c r="D5" s="155"/>
      <c r="E5" s="155"/>
      <c r="F5" s="144"/>
      <c r="G5" s="145"/>
      <c r="H5" s="145"/>
      <c r="I5" s="146"/>
    </row>
    <row r="6" spans="1:15" ht="16.899999999999999" customHeight="1">
      <c r="C6" s="154" t="s">
        <v>4</v>
      </c>
      <c r="D6" s="155"/>
      <c r="E6" s="155"/>
      <c r="F6" s="147"/>
      <c r="G6" s="148"/>
      <c r="H6" s="148"/>
      <c r="I6" s="149"/>
    </row>
    <row r="7" spans="1:15" ht="16.899999999999999" customHeight="1">
      <c r="C7" s="154" t="s">
        <v>5</v>
      </c>
      <c r="D7" s="155"/>
      <c r="E7" s="155"/>
      <c r="F7" s="144"/>
      <c r="G7" s="145"/>
      <c r="H7" s="145"/>
      <c r="I7" s="146"/>
    </row>
    <row r="8" spans="1:15" ht="16.899999999999999" customHeight="1">
      <c r="C8" s="5"/>
      <c r="D8" s="5"/>
      <c r="E8" s="5"/>
    </row>
    <row r="10" spans="1:15" ht="16.899999999999999" customHeight="1">
      <c r="A10" s="134" t="s">
        <v>6</v>
      </c>
      <c r="B10" s="134"/>
      <c r="C10" s="134"/>
      <c r="D10" s="134"/>
      <c r="E10" s="134"/>
      <c r="F10" s="134"/>
      <c r="G10" s="134"/>
      <c r="I10" s="134" t="s">
        <v>7</v>
      </c>
      <c r="J10" s="134"/>
      <c r="K10" s="134"/>
      <c r="L10" s="134"/>
      <c r="M10" s="134"/>
      <c r="N10" s="134"/>
      <c r="O10" s="134"/>
    </row>
    <row r="11" spans="1:15" ht="16.899999999999999" customHeight="1">
      <c r="A11" s="135" t="s">
        <v>8</v>
      </c>
      <c r="B11" s="136"/>
      <c r="C11" s="136"/>
      <c r="D11" s="150"/>
      <c r="E11" s="151"/>
      <c r="F11" s="151"/>
      <c r="G11" s="152"/>
      <c r="I11" s="135" t="s">
        <v>9</v>
      </c>
      <c r="J11" s="136"/>
      <c r="K11" s="136"/>
      <c r="L11" s="138"/>
      <c r="M11" s="139"/>
      <c r="N11" s="139"/>
      <c r="O11" s="140"/>
    </row>
    <row r="12" spans="1:15" ht="16.899999999999999" customHeight="1">
      <c r="A12" s="135" t="s">
        <v>10</v>
      </c>
      <c r="B12" s="136"/>
      <c r="C12" s="137"/>
      <c r="D12" s="150"/>
      <c r="E12" s="151"/>
      <c r="F12" s="151"/>
      <c r="G12" s="152"/>
      <c r="I12" s="135" t="s">
        <v>11</v>
      </c>
      <c r="J12" s="136"/>
      <c r="K12" s="136"/>
      <c r="L12" s="138"/>
      <c r="M12" s="139"/>
      <c r="N12" s="139"/>
      <c r="O12" s="140"/>
    </row>
    <row r="13" spans="1:15" ht="16.899999999999999" customHeight="1">
      <c r="A13" s="135" t="s">
        <v>12</v>
      </c>
      <c r="B13" s="136"/>
      <c r="C13" s="137"/>
      <c r="D13" s="150"/>
      <c r="E13" s="151"/>
      <c r="F13" s="151"/>
      <c r="G13" s="152"/>
      <c r="I13" s="135" t="s">
        <v>13</v>
      </c>
      <c r="J13" s="136"/>
      <c r="K13" s="136"/>
      <c r="L13" s="150"/>
      <c r="M13" s="151"/>
      <c r="N13" s="151"/>
      <c r="O13" s="152"/>
    </row>
    <row r="14" spans="1:15" ht="16.899999999999999" customHeight="1">
      <c r="A14" s="135" t="s">
        <v>14</v>
      </c>
      <c r="B14" s="136"/>
      <c r="C14" s="137"/>
      <c r="D14" s="150"/>
      <c r="E14" s="151"/>
      <c r="F14" s="151"/>
      <c r="G14" s="152"/>
      <c r="I14" s="135" t="s">
        <v>15</v>
      </c>
      <c r="J14" s="136"/>
      <c r="K14" s="136"/>
      <c r="L14" s="138"/>
      <c r="M14" s="139"/>
      <c r="N14" s="139"/>
      <c r="O14" s="140"/>
    </row>
    <row r="15" spans="1:15" ht="16.899999999999999" customHeight="1">
      <c r="A15" s="135" t="s">
        <v>16</v>
      </c>
      <c r="B15" s="136"/>
      <c r="C15" s="137"/>
      <c r="D15" s="150"/>
      <c r="E15" s="151"/>
      <c r="F15" s="151"/>
      <c r="G15" s="152"/>
      <c r="I15" s="135" t="s">
        <v>17</v>
      </c>
      <c r="J15" s="136"/>
      <c r="K15" s="136"/>
      <c r="L15" s="138"/>
      <c r="M15" s="139"/>
      <c r="N15" s="139"/>
      <c r="O15" s="140"/>
    </row>
    <row r="16" spans="1:15" ht="16.899999999999999" customHeight="1">
      <c r="A16" s="135" t="s">
        <v>18</v>
      </c>
      <c r="B16" s="136"/>
      <c r="C16" s="137"/>
      <c r="D16" s="153"/>
      <c r="E16" s="151"/>
      <c r="F16" s="151"/>
      <c r="G16" s="152"/>
      <c r="I16" s="135" t="s">
        <v>19</v>
      </c>
      <c r="J16" s="136"/>
      <c r="K16" s="136"/>
      <c r="L16" s="138"/>
      <c r="M16" s="139"/>
      <c r="N16" s="139"/>
      <c r="O16" s="140"/>
    </row>
    <row r="19" spans="1:15" ht="16.899999999999999" customHeight="1">
      <c r="A19" s="134" t="s">
        <v>20</v>
      </c>
      <c r="B19" s="134"/>
      <c r="C19" s="134"/>
      <c r="D19" s="134"/>
      <c r="E19" s="134"/>
      <c r="F19" s="134"/>
      <c r="G19" s="134"/>
      <c r="I19" s="134" t="s">
        <v>21</v>
      </c>
      <c r="J19" s="134"/>
      <c r="K19" s="134"/>
      <c r="L19" s="134"/>
      <c r="M19" s="134"/>
      <c r="N19" s="134"/>
      <c r="O19" s="134"/>
    </row>
    <row r="20" spans="1:15" ht="16.899999999999999" customHeight="1">
      <c r="A20" s="135" t="s">
        <v>22</v>
      </c>
      <c r="B20" s="136"/>
      <c r="C20" s="137"/>
      <c r="D20" s="138"/>
      <c r="E20" s="139"/>
      <c r="F20" s="139"/>
      <c r="G20" s="140"/>
      <c r="I20" s="135" t="s">
        <v>23</v>
      </c>
      <c r="J20" s="136"/>
      <c r="K20" s="137"/>
      <c r="L20" s="138"/>
      <c r="M20" s="139"/>
      <c r="N20" s="139"/>
      <c r="O20" s="140"/>
    </row>
    <row r="21" spans="1:15" ht="16.899999999999999" customHeight="1">
      <c r="A21" s="135" t="s">
        <v>24</v>
      </c>
      <c r="B21" s="136"/>
      <c r="C21" s="137"/>
      <c r="D21" s="138"/>
      <c r="E21" s="139"/>
      <c r="F21" s="139"/>
      <c r="G21" s="140"/>
      <c r="I21" s="135" t="s">
        <v>25</v>
      </c>
      <c r="J21" s="136"/>
      <c r="K21" s="137"/>
      <c r="L21" s="131"/>
      <c r="M21" s="132"/>
      <c r="N21" s="132"/>
      <c r="O21" s="133"/>
    </row>
    <row r="22" spans="1:15" ht="16.899999999999999" customHeight="1">
      <c r="A22" s="135" t="s">
        <v>26</v>
      </c>
      <c r="B22" s="136"/>
      <c r="C22" s="137"/>
      <c r="D22" s="138"/>
      <c r="E22" s="139"/>
      <c r="F22" s="139"/>
      <c r="G22" s="140"/>
    </row>
    <row r="23" spans="1:15" ht="16.899999999999999" customHeight="1">
      <c r="A23" s="135" t="s">
        <v>27</v>
      </c>
      <c r="B23" s="136"/>
      <c r="C23" s="137"/>
      <c r="D23" s="138"/>
      <c r="E23" s="139"/>
      <c r="F23" s="139"/>
      <c r="G23" s="140"/>
    </row>
  </sheetData>
  <mergeCells count="51">
    <mergeCell ref="C2:I2"/>
    <mergeCell ref="D11:G11"/>
    <mergeCell ref="A11:C11"/>
    <mergeCell ref="A10:G10"/>
    <mergeCell ref="C3:E3"/>
    <mergeCell ref="F3:I3"/>
    <mergeCell ref="C4:E4"/>
    <mergeCell ref="I10:O10"/>
    <mergeCell ref="I11:K11"/>
    <mergeCell ref="L11:O11"/>
    <mergeCell ref="C5:E5"/>
    <mergeCell ref="C6:E6"/>
    <mergeCell ref="C7:E7"/>
    <mergeCell ref="D13:G13"/>
    <mergeCell ref="A12:C12"/>
    <mergeCell ref="A13:C13"/>
    <mergeCell ref="I13:K13"/>
    <mergeCell ref="A21:C21"/>
    <mergeCell ref="I14:K14"/>
    <mergeCell ref="I15:K15"/>
    <mergeCell ref="I16:K16"/>
    <mergeCell ref="D14:G14"/>
    <mergeCell ref="D15:G15"/>
    <mergeCell ref="D16:G16"/>
    <mergeCell ref="A14:C14"/>
    <mergeCell ref="A15:C15"/>
    <mergeCell ref="I21:K21"/>
    <mergeCell ref="A16:C16"/>
    <mergeCell ref="D12:G12"/>
    <mergeCell ref="A22:C22"/>
    <mergeCell ref="A23:C23"/>
    <mergeCell ref="D20:G20"/>
    <mergeCell ref="D21:G21"/>
    <mergeCell ref="D22:G22"/>
    <mergeCell ref="D23:G23"/>
    <mergeCell ref="L21:O21"/>
    <mergeCell ref="I19:O19"/>
    <mergeCell ref="I20:K20"/>
    <mergeCell ref="L20:O20"/>
    <mergeCell ref="F4:I4"/>
    <mergeCell ref="F5:I5"/>
    <mergeCell ref="F6:I6"/>
    <mergeCell ref="F7:I7"/>
    <mergeCell ref="A19:G19"/>
    <mergeCell ref="A20:C20"/>
    <mergeCell ref="L12:O12"/>
    <mergeCell ref="L13:O13"/>
    <mergeCell ref="L14:O14"/>
    <mergeCell ref="L15:O15"/>
    <mergeCell ref="L16:O16"/>
    <mergeCell ref="I12:K12"/>
  </mergeCells>
  <pageMargins left="0.23622047244094491" right="0.23622047244094491" top="0.35433070866141736" bottom="0.35433070866141736" header="0.31496062992125984" footer="0.31496062992125984"/>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Codes!#REF!</xm:f>
          </x14:formula1>
          <xm:sqref>D16:G16 D12:G13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I198"/>
  <sheetViews>
    <sheetView topLeftCell="B1" zoomScale="90" zoomScaleNormal="90" zoomScalePageLayoutView="80" workbookViewId="0">
      <selection activeCell="C184" sqref="C184:F184"/>
    </sheetView>
  </sheetViews>
  <sheetFormatPr defaultColWidth="8.85546875" defaultRowHeight="16.899999999999999" customHeight="1"/>
  <cols>
    <col min="1" max="1" width="12.28515625" style="2" hidden="1" customWidth="1"/>
    <col min="2" max="2" width="35.85546875" style="2" customWidth="1"/>
    <col min="3" max="3" width="50.5703125" style="2" customWidth="1"/>
    <col min="4" max="4" width="9.28515625" style="2" customWidth="1"/>
    <col min="5" max="9" width="8.28515625" style="2" customWidth="1"/>
    <col min="10" max="16384" width="8.85546875" style="2"/>
  </cols>
  <sheetData>
    <row r="1" spans="2:9" ht="16.899999999999999" customHeight="1">
      <c r="C1" s="1"/>
    </row>
    <row r="2" spans="2:9" ht="16.899999999999999" customHeight="1">
      <c r="B2" s="1"/>
    </row>
    <row r="3" spans="2:9" ht="16.899999999999999" customHeight="1">
      <c r="B3" s="1"/>
    </row>
    <row r="4" spans="2:9" ht="16.899999999999999" customHeight="1">
      <c r="G4" s="165" t="s">
        <v>28</v>
      </c>
      <c r="H4" s="165"/>
      <c r="I4" s="165"/>
    </row>
    <row r="5" spans="2:9" ht="16.899999999999999" customHeight="1">
      <c r="B5" s="4" t="s">
        <v>0</v>
      </c>
      <c r="C5" s="4"/>
      <c r="D5" s="21"/>
      <c r="E5" s="166" t="s">
        <v>29</v>
      </c>
      <c r="F5" s="166"/>
      <c r="G5" s="31" t="s">
        <v>30</v>
      </c>
      <c r="H5" s="30" t="s">
        <v>31</v>
      </c>
      <c r="I5" s="29" t="s">
        <v>32</v>
      </c>
    </row>
    <row r="6" spans="2:9" ht="16.899999999999999" customHeight="1">
      <c r="B6" s="3" t="s">
        <v>1</v>
      </c>
      <c r="C6" s="22">
        <f>Persoonsgegevens!F3</f>
        <v>0</v>
      </c>
      <c r="D6" s="21"/>
      <c r="E6" s="167"/>
      <c r="F6" s="168"/>
      <c r="G6" s="76"/>
      <c r="H6" s="77"/>
      <c r="I6" s="77"/>
    </row>
    <row r="7" spans="2:9" ht="16.899999999999999" customHeight="1">
      <c r="B7" s="3" t="s">
        <v>33</v>
      </c>
      <c r="C7" s="23">
        <f>Persoonsgegevens!D12</f>
        <v>0</v>
      </c>
      <c r="D7" s="21"/>
      <c r="E7" s="167"/>
      <c r="F7" s="168"/>
      <c r="G7" s="76"/>
      <c r="H7" s="77"/>
      <c r="I7" s="77"/>
    </row>
    <row r="8" spans="2:9" ht="16.899999999999999" customHeight="1">
      <c r="B8" s="3" t="s">
        <v>34</v>
      </c>
      <c r="C8" s="24">
        <f>Persoonsgegevens!D15</f>
        <v>0</v>
      </c>
      <c r="D8" s="21"/>
      <c r="E8" s="167"/>
      <c r="F8" s="168"/>
      <c r="G8" s="76"/>
      <c r="H8" s="77"/>
      <c r="I8" s="77"/>
    </row>
    <row r="9" spans="2:9" ht="16.899999999999999" customHeight="1">
      <c r="D9" s="5"/>
      <c r="E9" s="167"/>
      <c r="F9" s="168"/>
      <c r="G9" s="76"/>
      <c r="H9" s="77"/>
      <c r="I9" s="77"/>
    </row>
    <row r="10" spans="2:9" ht="16.899999999999999" customHeight="1">
      <c r="B10" s="12" t="s">
        <v>35</v>
      </c>
    </row>
    <row r="11" spans="2:9" ht="16.899999999999999" customHeight="1">
      <c r="B11" s="1"/>
    </row>
    <row r="12" spans="2:9" ht="16.899999999999999" customHeight="1">
      <c r="B12" s="8" t="s">
        <v>36</v>
      </c>
      <c r="C12" s="7"/>
      <c r="D12" s="7"/>
      <c r="E12" s="7"/>
      <c r="F12" s="7"/>
      <c r="G12" s="7"/>
      <c r="H12" s="7"/>
      <c r="I12" s="7"/>
    </row>
    <row r="13" spans="2:9" ht="43.9" customHeight="1">
      <c r="B13" s="20" t="s">
        <v>37</v>
      </c>
      <c r="C13" s="159"/>
      <c r="D13" s="160"/>
      <c r="E13" s="160"/>
      <c r="F13" s="160"/>
      <c r="G13" s="160"/>
      <c r="H13" s="160"/>
      <c r="I13" s="161"/>
    </row>
    <row r="14" spans="2:9" ht="43.15" customHeight="1">
      <c r="B14" s="20" t="s">
        <v>38</v>
      </c>
      <c r="C14" s="164"/>
      <c r="D14" s="160"/>
      <c r="E14" s="160"/>
      <c r="F14" s="160"/>
      <c r="G14" s="160"/>
      <c r="H14" s="160"/>
      <c r="I14" s="161"/>
    </row>
    <row r="15" spans="2:9" ht="52.15" customHeight="1">
      <c r="B15" s="25" t="s">
        <v>39</v>
      </c>
      <c r="C15" s="159"/>
      <c r="D15" s="160"/>
      <c r="E15" s="160"/>
      <c r="F15" s="160"/>
      <c r="G15" s="160"/>
      <c r="H15" s="160"/>
      <c r="I15" s="161"/>
    </row>
    <row r="16" spans="2:9" ht="16.899999999999999" customHeight="1">
      <c r="B16" s="5"/>
      <c r="C16" s="5"/>
      <c r="D16" s="5"/>
      <c r="E16" s="5"/>
      <c r="F16" s="5"/>
    </row>
    <row r="17" spans="2:9" ht="16.899999999999999" customHeight="1">
      <c r="B17" s="8" t="s">
        <v>40</v>
      </c>
      <c r="C17" s="6"/>
      <c r="D17" s="6"/>
      <c r="E17" s="6"/>
      <c r="F17" s="6"/>
      <c r="G17" s="6"/>
      <c r="H17" s="6"/>
      <c r="I17" s="6"/>
    </row>
    <row r="18" spans="2:9" ht="45" customHeight="1">
      <c r="B18" s="17" t="s">
        <v>41</v>
      </c>
      <c r="C18" s="164"/>
      <c r="D18" s="160"/>
      <c r="E18" s="160"/>
      <c r="F18" s="160"/>
      <c r="G18" s="160"/>
      <c r="H18" s="160"/>
      <c r="I18" s="161"/>
    </row>
    <row r="19" spans="2:9" ht="44.45" customHeight="1">
      <c r="B19" s="17" t="s">
        <v>42</v>
      </c>
      <c r="C19" s="159"/>
      <c r="D19" s="160"/>
      <c r="E19" s="160"/>
      <c r="F19" s="160"/>
      <c r="G19" s="160"/>
      <c r="H19" s="160"/>
      <c r="I19" s="161"/>
    </row>
    <row r="20" spans="2:9" ht="36.6" customHeight="1">
      <c r="B20" s="17" t="s">
        <v>43</v>
      </c>
      <c r="C20" s="159"/>
      <c r="D20" s="160"/>
      <c r="E20" s="160"/>
      <c r="F20" s="160"/>
      <c r="G20" s="160"/>
      <c r="H20" s="160"/>
      <c r="I20" s="161"/>
    </row>
    <row r="21" spans="2:9" ht="38.450000000000003" customHeight="1">
      <c r="B21" s="25" t="s">
        <v>44</v>
      </c>
      <c r="C21" s="159"/>
      <c r="D21" s="160"/>
      <c r="E21" s="160"/>
      <c r="F21" s="160"/>
      <c r="G21" s="160"/>
      <c r="H21" s="160"/>
      <c r="I21" s="161"/>
    </row>
    <row r="22" spans="2:9" ht="31.15" customHeight="1">
      <c r="B22" s="55" t="s">
        <v>45</v>
      </c>
      <c r="C22" s="159"/>
      <c r="D22" s="160"/>
      <c r="E22" s="160"/>
      <c r="F22" s="160"/>
      <c r="G22" s="160"/>
      <c r="H22" s="160"/>
      <c r="I22" s="161"/>
    </row>
    <row r="23" spans="2:9" ht="39.6" customHeight="1">
      <c r="B23" s="17" t="s">
        <v>46</v>
      </c>
      <c r="C23" s="159"/>
      <c r="D23" s="160"/>
      <c r="E23" s="160"/>
      <c r="F23" s="160"/>
      <c r="G23" s="160"/>
      <c r="H23" s="160"/>
      <c r="I23" s="161"/>
    </row>
    <row r="24" spans="2:9" ht="45.6" customHeight="1">
      <c r="B24" s="25" t="s">
        <v>47</v>
      </c>
      <c r="C24" s="159"/>
      <c r="D24" s="160"/>
      <c r="E24" s="160"/>
      <c r="F24" s="160"/>
      <c r="G24" s="160"/>
      <c r="H24" s="160"/>
      <c r="I24" s="161"/>
    </row>
    <row r="25" spans="2:9" ht="71.45" customHeight="1">
      <c r="B25" s="25" t="s">
        <v>48</v>
      </c>
      <c r="C25" s="159"/>
      <c r="D25" s="160"/>
      <c r="E25" s="160"/>
      <c r="F25" s="160"/>
      <c r="G25" s="160"/>
      <c r="H25" s="160"/>
      <c r="I25" s="161"/>
    </row>
    <row r="26" spans="2:9" ht="94.15" customHeight="1">
      <c r="B26" s="25" t="s">
        <v>49</v>
      </c>
      <c r="C26" s="159"/>
      <c r="D26" s="160"/>
      <c r="E26" s="160"/>
      <c r="F26" s="160"/>
      <c r="G26" s="160"/>
      <c r="H26" s="160"/>
      <c r="I26" s="161"/>
    </row>
    <row r="28" spans="2:9" ht="16.899999999999999" customHeight="1">
      <c r="B28" s="8" t="s">
        <v>50</v>
      </c>
      <c r="C28" s="8"/>
      <c r="D28" s="8"/>
      <c r="E28" s="8"/>
      <c r="F28" s="8"/>
      <c r="G28" s="8"/>
      <c r="H28" s="8"/>
      <c r="I28" s="8"/>
    </row>
    <row r="29" spans="2:9" ht="60" customHeight="1">
      <c r="B29" s="17" t="s">
        <v>51</v>
      </c>
      <c r="C29" s="164"/>
      <c r="D29" s="160"/>
      <c r="E29" s="160"/>
      <c r="F29" s="160"/>
      <c r="G29" s="160"/>
      <c r="H29" s="160"/>
      <c r="I29" s="161"/>
    </row>
    <row r="30" spans="2:9" ht="40.9" customHeight="1">
      <c r="B30" s="25" t="s">
        <v>52</v>
      </c>
      <c r="C30" s="164"/>
      <c r="D30" s="160"/>
      <c r="E30" s="160"/>
      <c r="F30" s="160"/>
      <c r="G30" s="160"/>
      <c r="H30" s="160"/>
      <c r="I30" s="161"/>
    </row>
    <row r="31" spans="2:9" ht="16.899999999999999" customHeight="1">
      <c r="B31" s="10"/>
      <c r="C31" s="10"/>
      <c r="D31" s="10"/>
      <c r="E31" s="10"/>
      <c r="F31" s="10"/>
      <c r="G31" s="5"/>
      <c r="H31" s="11"/>
      <c r="I31" s="11"/>
    </row>
    <row r="32" spans="2:9" ht="16.899999999999999" customHeight="1">
      <c r="B32" s="8" t="s">
        <v>53</v>
      </c>
      <c r="C32" s="8"/>
      <c r="D32" s="8"/>
      <c r="E32" s="8"/>
      <c r="F32" s="8"/>
      <c r="G32" s="8"/>
      <c r="H32" s="8"/>
      <c r="I32" s="8"/>
    </row>
    <row r="33" spans="2:9" ht="40.9" customHeight="1">
      <c r="B33" s="26" t="s">
        <v>54</v>
      </c>
      <c r="C33" s="159"/>
      <c r="D33" s="160"/>
      <c r="E33" s="160"/>
      <c r="F33" s="160"/>
      <c r="G33" s="160"/>
      <c r="H33" s="160"/>
      <c r="I33" s="161"/>
    </row>
    <row r="34" spans="2:9" ht="30.6" customHeight="1">
      <c r="B34" s="27" t="s">
        <v>55</v>
      </c>
      <c r="C34" s="159"/>
      <c r="D34" s="160"/>
      <c r="E34" s="160"/>
      <c r="F34" s="160"/>
      <c r="G34" s="160"/>
      <c r="H34" s="160"/>
      <c r="I34" s="161"/>
    </row>
    <row r="35" spans="2:9" ht="31.9" customHeight="1">
      <c r="B35" s="28" t="s">
        <v>56</v>
      </c>
      <c r="C35" s="159"/>
      <c r="D35" s="160"/>
      <c r="E35" s="160"/>
      <c r="F35" s="160"/>
      <c r="G35" s="160"/>
      <c r="H35" s="160"/>
      <c r="I35" s="161"/>
    </row>
    <row r="36" spans="2:9" ht="16.899999999999999" customHeight="1">
      <c r="B36" s="10"/>
      <c r="C36" s="10"/>
      <c r="D36" s="10"/>
      <c r="E36" s="10"/>
      <c r="F36" s="10"/>
      <c r="G36" s="11"/>
      <c r="H36" s="11"/>
      <c r="I36" s="11"/>
    </row>
    <row r="37" spans="2:9" ht="16.899999999999999" customHeight="1">
      <c r="B37" s="8" t="s">
        <v>57</v>
      </c>
      <c r="C37" s="8"/>
      <c r="D37" s="8"/>
      <c r="E37" s="8"/>
      <c r="F37" s="8"/>
      <c r="G37" s="8"/>
      <c r="H37" s="8"/>
      <c r="I37" s="8"/>
    </row>
    <row r="38" spans="2:9" ht="54" customHeight="1">
      <c r="B38" s="17" t="s">
        <v>58</v>
      </c>
      <c r="C38" s="164"/>
      <c r="D38" s="160"/>
      <c r="E38" s="160"/>
      <c r="F38" s="160"/>
      <c r="G38" s="160"/>
      <c r="H38" s="160"/>
      <c r="I38" s="161"/>
    </row>
    <row r="39" spans="2:9" ht="49.15" customHeight="1">
      <c r="B39" s="17" t="s">
        <v>59</v>
      </c>
      <c r="C39" s="164"/>
      <c r="D39" s="160"/>
      <c r="E39" s="160"/>
      <c r="F39" s="160"/>
      <c r="G39" s="160"/>
      <c r="H39" s="160"/>
      <c r="I39" s="161"/>
    </row>
    <row r="40" spans="2:9" ht="62.45" customHeight="1">
      <c r="B40" s="18" t="s">
        <v>60</v>
      </c>
      <c r="C40" s="159"/>
      <c r="D40" s="160"/>
      <c r="E40" s="160"/>
      <c r="F40" s="160"/>
      <c r="G40" s="160"/>
      <c r="H40" s="160"/>
      <c r="I40" s="161"/>
    </row>
    <row r="42" spans="2:9" ht="16.899999999999999" customHeight="1">
      <c r="B42" s="12" t="s">
        <v>61</v>
      </c>
      <c r="C42" s="1"/>
      <c r="D42" s="1"/>
      <c r="E42" s="1"/>
      <c r="F42" s="1"/>
    </row>
    <row r="43" spans="2:9" ht="52.15" customHeight="1">
      <c r="B43" s="19" t="s">
        <v>62</v>
      </c>
      <c r="C43" s="159"/>
      <c r="D43" s="160"/>
      <c r="E43" s="160"/>
      <c r="F43" s="160"/>
      <c r="G43" s="160"/>
      <c r="H43" s="160"/>
      <c r="I43" s="161"/>
    </row>
    <row r="44" spans="2:9" ht="52.15" customHeight="1">
      <c r="B44" s="19" t="s">
        <v>63</v>
      </c>
      <c r="C44" s="159"/>
      <c r="D44" s="160"/>
      <c r="E44" s="160"/>
      <c r="F44" s="160"/>
      <c r="G44" s="160"/>
      <c r="H44" s="160"/>
      <c r="I44" s="161"/>
    </row>
    <row r="45" spans="2:9" ht="49.15" customHeight="1">
      <c r="B45" s="18" t="s">
        <v>64</v>
      </c>
      <c r="C45" s="159"/>
      <c r="D45" s="160"/>
      <c r="E45" s="160"/>
      <c r="F45" s="160"/>
      <c r="G45" s="160"/>
      <c r="H45" s="160"/>
      <c r="I45" s="161"/>
    </row>
    <row r="46" spans="2:9" ht="50.45" customHeight="1">
      <c r="B46" s="18" t="s">
        <v>65</v>
      </c>
      <c r="C46" s="159"/>
      <c r="D46" s="160"/>
      <c r="E46" s="160"/>
      <c r="F46" s="160"/>
      <c r="G46" s="160"/>
      <c r="H46" s="160"/>
      <c r="I46" s="161"/>
    </row>
    <row r="47" spans="2:9" ht="56.45" customHeight="1">
      <c r="B47" s="18" t="s">
        <v>66</v>
      </c>
      <c r="C47" s="159"/>
      <c r="D47" s="160"/>
      <c r="E47" s="160"/>
      <c r="F47" s="160"/>
      <c r="G47" s="160"/>
      <c r="H47" s="160"/>
      <c r="I47" s="161"/>
    </row>
    <row r="49" spans="2:9" ht="16.899999999999999" customHeight="1">
      <c r="B49" s="12" t="s">
        <v>67</v>
      </c>
      <c r="C49" s="12"/>
      <c r="E49" s="163" t="s">
        <v>68</v>
      </c>
      <c r="F49" s="163"/>
      <c r="G49" s="163"/>
      <c r="H49" s="163"/>
      <c r="I49" s="163"/>
    </row>
    <row r="50" spans="2:9" ht="16.899999999999999" customHeight="1">
      <c r="E50" s="162" t="s">
        <v>69</v>
      </c>
      <c r="F50" s="162"/>
      <c r="G50" s="162"/>
      <c r="H50" s="162"/>
      <c r="I50" s="162"/>
    </row>
    <row r="51" spans="2:9" ht="22.7" customHeight="1">
      <c r="B51" s="15" t="s">
        <v>70</v>
      </c>
      <c r="C51" s="14" t="s">
        <v>71</v>
      </c>
      <c r="D51" s="14"/>
      <c r="E51" s="13">
        <v>2019</v>
      </c>
      <c r="F51" s="13">
        <v>2020</v>
      </c>
      <c r="G51" s="13">
        <v>2021</v>
      </c>
      <c r="H51" s="13">
        <v>2022</v>
      </c>
      <c r="I51" s="16">
        <v>2023</v>
      </c>
    </row>
    <row r="52" spans="2:9" ht="72">
      <c r="B52" s="46" t="s">
        <v>72</v>
      </c>
      <c r="C52" s="47" t="s">
        <v>73</v>
      </c>
      <c r="D52" s="9"/>
      <c r="E52" s="52"/>
      <c r="F52" s="59"/>
      <c r="G52" s="59"/>
      <c r="H52" s="59"/>
      <c r="I52" s="59"/>
    </row>
    <row r="53" spans="2:9" ht="57.6">
      <c r="B53" s="46" t="s">
        <v>74</v>
      </c>
      <c r="C53" s="47" t="s">
        <v>75</v>
      </c>
      <c r="D53" s="9"/>
      <c r="E53" s="52"/>
      <c r="F53" s="59"/>
      <c r="G53" s="59"/>
      <c r="H53" s="59"/>
      <c r="I53" s="59"/>
    </row>
    <row r="54" spans="2:9" ht="57.6">
      <c r="B54" s="46" t="s">
        <v>76</v>
      </c>
      <c r="C54" s="47" t="s">
        <v>77</v>
      </c>
      <c r="D54" s="9"/>
      <c r="E54" s="52"/>
      <c r="F54" s="59"/>
      <c r="G54" s="59"/>
      <c r="H54" s="59"/>
      <c r="I54" s="59"/>
    </row>
    <row r="55" spans="2:9" ht="129.6">
      <c r="B55" s="46" t="s">
        <v>78</v>
      </c>
      <c r="C55" s="47" t="s">
        <v>79</v>
      </c>
      <c r="D55" s="9"/>
      <c r="E55" s="52"/>
      <c r="F55" s="59"/>
      <c r="G55" s="59"/>
      <c r="H55" s="59"/>
      <c r="I55" s="59"/>
    </row>
    <row r="56" spans="2:9" ht="72">
      <c r="B56" s="46" t="s">
        <v>80</v>
      </c>
      <c r="C56" s="47" t="s">
        <v>81</v>
      </c>
      <c r="D56" s="9"/>
      <c r="E56" s="52"/>
      <c r="F56" s="59"/>
      <c r="G56" s="59"/>
      <c r="H56" s="59"/>
      <c r="I56" s="59"/>
    </row>
    <row r="57" spans="2:9" ht="86.45">
      <c r="B57" s="46" t="s">
        <v>82</v>
      </c>
      <c r="C57" s="47" t="s">
        <v>83</v>
      </c>
      <c r="D57" s="9"/>
      <c r="E57" s="52"/>
      <c r="F57" s="59"/>
      <c r="G57" s="59"/>
      <c r="H57" s="59"/>
      <c r="I57" s="59"/>
    </row>
    <row r="58" spans="2:9" ht="129.6" customHeight="1">
      <c r="B58" s="46" t="s">
        <v>84</v>
      </c>
      <c r="C58" s="47" t="s">
        <v>85</v>
      </c>
      <c r="D58" s="9"/>
      <c r="E58" s="52"/>
      <c r="F58" s="59"/>
      <c r="G58" s="59"/>
      <c r="H58" s="59"/>
      <c r="I58" s="59"/>
    </row>
    <row r="59" spans="2:9" ht="57.6">
      <c r="B59" s="46" t="s">
        <v>86</v>
      </c>
      <c r="C59" s="47" t="s">
        <v>87</v>
      </c>
      <c r="D59" s="9"/>
      <c r="E59" s="52"/>
      <c r="F59" s="59"/>
      <c r="G59" s="59"/>
      <c r="H59" s="59"/>
      <c r="I59" s="59"/>
    </row>
    <row r="60" spans="2:9" ht="43.15">
      <c r="B60" s="46" t="s">
        <v>88</v>
      </c>
      <c r="C60" s="47" t="s">
        <v>89</v>
      </c>
      <c r="D60" s="9"/>
      <c r="E60" s="52"/>
      <c r="F60" s="59"/>
      <c r="G60" s="59"/>
      <c r="H60" s="59"/>
      <c r="I60" s="59"/>
    </row>
    <row r="61" spans="2:9" ht="20.45" customHeight="1">
      <c r="B61" s="46" t="s">
        <v>90</v>
      </c>
      <c r="C61" s="47"/>
      <c r="D61" s="9"/>
      <c r="E61" s="52"/>
      <c r="F61" s="59"/>
      <c r="G61" s="59"/>
      <c r="H61" s="59"/>
      <c r="I61" s="59"/>
    </row>
    <row r="62" spans="2:9" ht="20.45" customHeight="1">
      <c r="B62" s="32"/>
      <c r="C62" s="33"/>
      <c r="D62" s="11"/>
      <c r="E62" s="11"/>
      <c r="F62" s="11"/>
      <c r="G62" s="11"/>
      <c r="H62" s="11"/>
      <c r="I62" s="11"/>
    </row>
    <row r="63" spans="2:9" ht="17.45" customHeight="1">
      <c r="B63" s="34" t="s">
        <v>91</v>
      </c>
      <c r="C63" s="33"/>
      <c r="D63" s="11"/>
      <c r="E63" s="11"/>
      <c r="F63" s="11"/>
      <c r="G63" s="11"/>
      <c r="H63" s="11"/>
      <c r="I63" s="11"/>
    </row>
    <row r="64" spans="2:9" ht="14.45">
      <c r="B64" s="32"/>
      <c r="C64" s="33"/>
      <c r="D64" s="11"/>
      <c r="E64" s="11"/>
      <c r="F64" s="11"/>
      <c r="G64" s="11"/>
      <c r="H64" s="11"/>
      <c r="I64" s="11"/>
    </row>
    <row r="65" spans="1:9" ht="14.45">
      <c r="B65" s="32"/>
      <c r="C65" s="33"/>
      <c r="D65" s="11"/>
      <c r="E65" s="11"/>
      <c r="F65" s="11"/>
      <c r="G65" s="11"/>
      <c r="H65" s="11"/>
      <c r="I65" s="11"/>
    </row>
    <row r="66" spans="1:9" ht="14.45">
      <c r="B66" s="32"/>
      <c r="C66" s="33"/>
      <c r="D66" s="11"/>
      <c r="E66" s="11"/>
      <c r="F66" s="11"/>
      <c r="G66" s="11"/>
      <c r="H66" s="11"/>
      <c r="I66" s="11"/>
    </row>
    <row r="67" spans="1:9" ht="14.45">
      <c r="B67" s="32"/>
      <c r="C67" s="33"/>
      <c r="D67" s="11"/>
      <c r="E67" s="11"/>
      <c r="F67" s="11"/>
      <c r="G67" s="11"/>
      <c r="H67" s="11"/>
      <c r="I67" s="11"/>
    </row>
    <row r="68" spans="1:9" ht="14.45">
      <c r="B68" s="32"/>
      <c r="C68" s="33"/>
      <c r="D68" s="11"/>
      <c r="E68" s="11"/>
      <c r="F68" s="11"/>
      <c r="G68" s="11"/>
      <c r="H68" s="11"/>
      <c r="I68" s="11"/>
    </row>
    <row r="69" spans="1:9" ht="14.45">
      <c r="B69" s="32"/>
      <c r="C69" s="33"/>
      <c r="D69" s="11"/>
      <c r="E69" s="11"/>
      <c r="F69" s="11"/>
      <c r="G69" s="11"/>
      <c r="H69" s="11"/>
      <c r="I69" s="11"/>
    </row>
    <row r="70" spans="1:9" ht="14.45">
      <c r="B70" s="32"/>
      <c r="C70" s="33"/>
      <c r="D70" s="11"/>
      <c r="E70" s="11"/>
      <c r="F70" s="11"/>
      <c r="G70" s="11"/>
      <c r="H70" s="11"/>
      <c r="I70" s="11"/>
    </row>
    <row r="71" spans="1:9" ht="14.45">
      <c r="B71" s="32"/>
      <c r="C71" s="33"/>
      <c r="D71" s="11"/>
      <c r="E71" s="11"/>
      <c r="F71" s="11"/>
      <c r="G71" s="11"/>
      <c r="H71" s="11"/>
      <c r="I71" s="11"/>
    </row>
    <row r="72" spans="1:9" ht="14.45">
      <c r="B72" s="32"/>
      <c r="C72" s="33"/>
      <c r="D72" s="11"/>
      <c r="E72" s="11"/>
      <c r="F72" s="11"/>
      <c r="G72" s="11"/>
      <c r="H72" s="11"/>
      <c r="I72" s="11"/>
    </row>
    <row r="73" spans="1:9" ht="14.45">
      <c r="B73" s="32"/>
      <c r="C73" s="33"/>
      <c r="D73" s="11"/>
      <c r="E73" s="11"/>
      <c r="F73" s="11"/>
      <c r="G73" s="11"/>
      <c r="H73" s="11"/>
      <c r="I73" s="11"/>
    </row>
    <row r="74" spans="1:9" ht="14.45">
      <c r="B74" s="32"/>
      <c r="C74" s="33"/>
      <c r="D74" s="11"/>
      <c r="E74" s="11"/>
      <c r="F74" s="11"/>
      <c r="G74" s="11"/>
      <c r="H74" s="11"/>
      <c r="I74" s="11"/>
    </row>
    <row r="75" spans="1:9" ht="14.45">
      <c r="B75" s="37"/>
      <c r="C75" s="37"/>
      <c r="E75" s="163" t="s">
        <v>68</v>
      </c>
      <c r="F75" s="163"/>
      <c r="G75" s="163"/>
      <c r="H75" s="163"/>
      <c r="I75" s="163"/>
    </row>
    <row r="76" spans="1:9" ht="16.899999999999999" customHeight="1">
      <c r="E76" s="162" t="s">
        <v>69</v>
      </c>
      <c r="F76" s="162"/>
      <c r="G76" s="162"/>
      <c r="H76" s="162"/>
      <c r="I76" s="162"/>
    </row>
    <row r="77" spans="1:9" ht="16.899999999999999" customHeight="1">
      <c r="A77" s="42" t="s">
        <v>92</v>
      </c>
      <c r="B77" s="38" t="s">
        <v>91</v>
      </c>
      <c r="C77" s="38" t="s">
        <v>71</v>
      </c>
      <c r="D77" s="41" t="s">
        <v>93</v>
      </c>
      <c r="E77" s="39" t="s">
        <v>94</v>
      </c>
      <c r="F77" s="39" t="s">
        <v>95</v>
      </c>
      <c r="G77" s="39" t="s">
        <v>96</v>
      </c>
      <c r="H77" s="39" t="s">
        <v>97</v>
      </c>
      <c r="I77" s="40" t="s">
        <v>98</v>
      </c>
    </row>
    <row r="78" spans="1:9" ht="28.9" hidden="1">
      <c r="A78" s="82" t="s">
        <v>99</v>
      </c>
      <c r="B78" s="67" t="s">
        <v>100</v>
      </c>
      <c r="C78" s="80" t="s">
        <v>101</v>
      </c>
      <c r="D78" s="36"/>
      <c r="E78" s="53"/>
      <c r="F78" s="56"/>
      <c r="G78" s="56"/>
      <c r="H78" s="56"/>
      <c r="I78" s="56"/>
    </row>
    <row r="79" spans="1:9" ht="43.15" hidden="1">
      <c r="A79" s="82" t="s">
        <v>99</v>
      </c>
      <c r="B79" s="67" t="s">
        <v>102</v>
      </c>
      <c r="C79" s="80" t="s">
        <v>103</v>
      </c>
      <c r="D79" s="36"/>
      <c r="E79" s="53"/>
      <c r="F79" s="56"/>
      <c r="G79" s="56"/>
      <c r="H79" s="56"/>
      <c r="I79" s="56"/>
    </row>
    <row r="80" spans="1:9" ht="28.9" hidden="1">
      <c r="A80" s="82" t="s">
        <v>99</v>
      </c>
      <c r="B80" s="67" t="s">
        <v>104</v>
      </c>
      <c r="C80" s="80" t="s">
        <v>105</v>
      </c>
      <c r="D80" s="36"/>
      <c r="E80" s="53"/>
      <c r="F80" s="56"/>
      <c r="G80" s="56"/>
      <c r="H80" s="56"/>
      <c r="I80" s="56"/>
    </row>
    <row r="81" spans="1:9" ht="14.45" hidden="1">
      <c r="A81" s="82" t="s">
        <v>99</v>
      </c>
      <c r="B81" s="67" t="s">
        <v>106</v>
      </c>
      <c r="C81" s="80" t="s">
        <v>107</v>
      </c>
      <c r="D81" s="36"/>
      <c r="E81" s="53"/>
      <c r="F81" s="56"/>
      <c r="G81" s="56"/>
      <c r="H81" s="56"/>
      <c r="I81" s="56"/>
    </row>
    <row r="82" spans="1:9" ht="57.6" hidden="1">
      <c r="A82" s="82" t="s">
        <v>99</v>
      </c>
      <c r="B82" s="67" t="s">
        <v>108</v>
      </c>
      <c r="C82" s="80" t="s">
        <v>109</v>
      </c>
      <c r="D82" s="36"/>
      <c r="E82" s="53"/>
      <c r="F82" s="56"/>
      <c r="G82" s="56"/>
      <c r="H82" s="56"/>
      <c r="I82" s="56"/>
    </row>
    <row r="83" spans="1:9" ht="28.9" hidden="1">
      <c r="A83" s="82" t="s">
        <v>99</v>
      </c>
      <c r="B83" s="67" t="s">
        <v>110</v>
      </c>
      <c r="C83" s="80" t="s">
        <v>111</v>
      </c>
      <c r="D83" s="36"/>
      <c r="E83" s="53"/>
      <c r="F83" s="56"/>
      <c r="G83" s="56"/>
      <c r="H83" s="56"/>
      <c r="I83" s="56"/>
    </row>
    <row r="84" spans="1:9" ht="28.9" hidden="1">
      <c r="A84" s="82" t="s">
        <v>99</v>
      </c>
      <c r="B84" s="67" t="s">
        <v>112</v>
      </c>
      <c r="C84" s="80" t="s">
        <v>113</v>
      </c>
      <c r="D84" s="36"/>
      <c r="E84" s="53"/>
      <c r="F84" s="56"/>
      <c r="G84" s="56"/>
      <c r="H84" s="56"/>
      <c r="I84" s="56"/>
    </row>
    <row r="85" spans="1:9" ht="57.6" hidden="1">
      <c r="A85" s="82" t="s">
        <v>99</v>
      </c>
      <c r="B85" s="67" t="s">
        <v>114</v>
      </c>
      <c r="C85" s="80" t="s">
        <v>115</v>
      </c>
      <c r="D85" s="36"/>
      <c r="E85" s="53"/>
      <c r="F85" s="56"/>
      <c r="G85" s="56"/>
      <c r="H85" s="56"/>
      <c r="I85" s="56"/>
    </row>
    <row r="86" spans="1:9" ht="28.9" hidden="1">
      <c r="A86" s="82" t="s">
        <v>99</v>
      </c>
      <c r="B86" s="67" t="s">
        <v>116</v>
      </c>
      <c r="C86" s="81" t="s">
        <v>117</v>
      </c>
      <c r="D86" s="36"/>
      <c r="E86" s="53"/>
      <c r="F86" s="56"/>
      <c r="G86" s="56"/>
      <c r="H86" s="56"/>
      <c r="I86" s="56"/>
    </row>
    <row r="87" spans="1:9" ht="14.45" hidden="1">
      <c r="A87" s="82" t="s">
        <v>99</v>
      </c>
      <c r="B87" s="67" t="s">
        <v>118</v>
      </c>
      <c r="C87" s="81" t="s">
        <v>119</v>
      </c>
      <c r="D87" s="36"/>
      <c r="E87" s="53"/>
      <c r="F87" s="56"/>
      <c r="G87" s="56"/>
      <c r="H87" s="56"/>
      <c r="I87" s="56"/>
    </row>
    <row r="88" spans="1:9" ht="86.45" hidden="1">
      <c r="A88" s="82" t="s">
        <v>99</v>
      </c>
      <c r="B88" s="67" t="s">
        <v>120</v>
      </c>
      <c r="C88" s="80" t="s">
        <v>121</v>
      </c>
      <c r="D88" s="36"/>
      <c r="E88" s="53"/>
      <c r="F88" s="56"/>
      <c r="G88" s="56"/>
      <c r="H88" s="56"/>
      <c r="I88" s="56"/>
    </row>
    <row r="89" spans="1:9" ht="57.6" hidden="1">
      <c r="A89" s="82" t="s">
        <v>99</v>
      </c>
      <c r="B89" s="67" t="s">
        <v>122</v>
      </c>
      <c r="C89" s="80" t="s">
        <v>123</v>
      </c>
      <c r="D89" s="36"/>
      <c r="E89" s="53"/>
      <c r="F89" s="56"/>
      <c r="G89" s="56"/>
      <c r="H89" s="56"/>
      <c r="I89" s="56"/>
    </row>
    <row r="90" spans="1:9" ht="28.9" hidden="1">
      <c r="A90" s="82" t="s">
        <v>99</v>
      </c>
      <c r="B90" s="67" t="s">
        <v>124</v>
      </c>
      <c r="C90" s="80" t="s">
        <v>125</v>
      </c>
      <c r="D90" s="36"/>
      <c r="E90" s="53"/>
      <c r="F90" s="56"/>
      <c r="G90" s="56"/>
      <c r="H90" s="56"/>
      <c r="I90" s="56"/>
    </row>
    <row r="91" spans="1:9" ht="57.6" hidden="1">
      <c r="A91" s="82" t="s">
        <v>126</v>
      </c>
      <c r="B91" s="67" t="s">
        <v>127</v>
      </c>
      <c r="C91" s="80" t="s">
        <v>128</v>
      </c>
      <c r="D91" s="36"/>
      <c r="E91" s="53"/>
      <c r="F91" s="56"/>
      <c r="G91" s="56"/>
      <c r="H91" s="56"/>
      <c r="I91" s="56"/>
    </row>
    <row r="92" spans="1:9" ht="28.9" hidden="1">
      <c r="A92" s="82" t="s">
        <v>126</v>
      </c>
      <c r="B92" s="67" t="s">
        <v>129</v>
      </c>
      <c r="C92" s="80" t="s">
        <v>130</v>
      </c>
      <c r="D92" s="36"/>
      <c r="E92" s="53"/>
      <c r="F92" s="56"/>
      <c r="G92" s="56"/>
      <c r="H92" s="56"/>
      <c r="I92" s="56"/>
    </row>
    <row r="93" spans="1:9" ht="72" hidden="1">
      <c r="A93" s="82" t="s">
        <v>126</v>
      </c>
      <c r="B93" s="67" t="s">
        <v>131</v>
      </c>
      <c r="C93" s="80" t="s">
        <v>132</v>
      </c>
      <c r="D93" s="36"/>
      <c r="E93" s="53"/>
      <c r="F93" s="56"/>
      <c r="G93" s="56"/>
      <c r="H93" s="56"/>
      <c r="I93" s="56"/>
    </row>
    <row r="94" spans="1:9" ht="14.45" hidden="1">
      <c r="A94" s="82" t="s">
        <v>126</v>
      </c>
      <c r="B94" s="67" t="s">
        <v>133</v>
      </c>
      <c r="C94" s="80" t="s">
        <v>134</v>
      </c>
      <c r="D94" s="36"/>
      <c r="E94" s="53"/>
      <c r="F94" s="56"/>
      <c r="G94" s="56"/>
      <c r="H94" s="56"/>
      <c r="I94" s="56"/>
    </row>
    <row r="95" spans="1:9" ht="100.9" hidden="1">
      <c r="A95" s="82" t="s">
        <v>126</v>
      </c>
      <c r="B95" s="67" t="s">
        <v>135</v>
      </c>
      <c r="C95" s="80" t="s">
        <v>136</v>
      </c>
      <c r="D95" s="36"/>
      <c r="E95" s="53"/>
      <c r="F95" s="56"/>
      <c r="G95" s="56"/>
      <c r="H95" s="56"/>
      <c r="I95" s="56"/>
    </row>
    <row r="96" spans="1:9" ht="72" hidden="1">
      <c r="A96" s="82" t="s">
        <v>126</v>
      </c>
      <c r="B96" s="67" t="s">
        <v>137</v>
      </c>
      <c r="C96" s="80" t="s">
        <v>138</v>
      </c>
      <c r="D96" s="36"/>
      <c r="E96" s="53"/>
      <c r="F96" s="56"/>
      <c r="G96" s="56"/>
      <c r="H96" s="56"/>
      <c r="I96" s="56"/>
    </row>
    <row r="97" spans="1:9" ht="43.15" hidden="1">
      <c r="A97" s="82" t="s">
        <v>126</v>
      </c>
      <c r="B97" s="67" t="s">
        <v>139</v>
      </c>
      <c r="C97" s="80" t="s">
        <v>140</v>
      </c>
      <c r="D97" s="36"/>
      <c r="E97" s="53"/>
      <c r="F97" s="56"/>
      <c r="G97" s="56"/>
      <c r="H97" s="56"/>
      <c r="I97" s="56"/>
    </row>
    <row r="98" spans="1:9" ht="43.15">
      <c r="A98" s="82" t="s">
        <v>141</v>
      </c>
      <c r="B98" s="67" t="s">
        <v>127</v>
      </c>
      <c r="C98" s="80" t="s">
        <v>142</v>
      </c>
      <c r="D98" s="36"/>
      <c r="E98" s="53"/>
      <c r="F98" s="56"/>
      <c r="G98" s="56"/>
      <c r="H98" s="56"/>
      <c r="I98" s="56"/>
    </row>
    <row r="99" spans="1:9" ht="28.9">
      <c r="A99" s="82" t="s">
        <v>141</v>
      </c>
      <c r="B99" s="67" t="s">
        <v>143</v>
      </c>
      <c r="C99" s="80" t="s">
        <v>144</v>
      </c>
      <c r="D99" s="36"/>
      <c r="E99" s="53"/>
      <c r="F99" s="56"/>
      <c r="G99" s="56"/>
      <c r="H99" s="56"/>
      <c r="I99" s="56"/>
    </row>
    <row r="100" spans="1:9" ht="57.6">
      <c r="A100" s="82" t="s">
        <v>141</v>
      </c>
      <c r="B100" s="67" t="s">
        <v>145</v>
      </c>
      <c r="C100" s="80" t="s">
        <v>146</v>
      </c>
      <c r="D100" s="36"/>
      <c r="E100" s="53"/>
      <c r="F100" s="56"/>
      <c r="G100" s="56"/>
      <c r="H100" s="56"/>
      <c r="I100" s="56"/>
    </row>
    <row r="101" spans="1:9" ht="43.15">
      <c r="A101" s="82" t="s">
        <v>141</v>
      </c>
      <c r="B101" s="67" t="s">
        <v>133</v>
      </c>
      <c r="C101" s="80" t="s">
        <v>147</v>
      </c>
      <c r="D101" s="36"/>
      <c r="E101" s="53"/>
      <c r="F101" s="56"/>
      <c r="G101" s="56"/>
      <c r="H101" s="56"/>
      <c r="I101" s="56"/>
    </row>
    <row r="102" spans="1:9" ht="28.9">
      <c r="A102" s="82" t="s">
        <v>141</v>
      </c>
      <c r="B102" s="67" t="s">
        <v>148</v>
      </c>
      <c r="C102" s="80" t="s">
        <v>149</v>
      </c>
      <c r="D102" s="36"/>
      <c r="E102" s="53"/>
      <c r="F102" s="56"/>
      <c r="G102" s="56"/>
      <c r="H102" s="56"/>
      <c r="I102" s="56"/>
    </row>
    <row r="103" spans="1:9" ht="43.15">
      <c r="A103" s="82" t="s">
        <v>141</v>
      </c>
      <c r="B103" s="67" t="s">
        <v>150</v>
      </c>
      <c r="C103" s="81" t="s">
        <v>151</v>
      </c>
      <c r="D103" s="36"/>
      <c r="E103" s="53" t="s">
        <v>152</v>
      </c>
      <c r="F103" s="56"/>
      <c r="G103" s="56"/>
      <c r="H103" s="56"/>
      <c r="I103" s="56"/>
    </row>
    <row r="104" spans="1:9" ht="100.9">
      <c r="A104" s="82" t="s">
        <v>141</v>
      </c>
      <c r="B104" s="67" t="s">
        <v>153</v>
      </c>
      <c r="C104" s="80" t="s">
        <v>154</v>
      </c>
      <c r="D104" s="36"/>
      <c r="E104" s="53" t="s">
        <v>152</v>
      </c>
      <c r="F104" s="56"/>
      <c r="G104" s="56"/>
      <c r="H104" s="56"/>
      <c r="I104" s="56"/>
    </row>
    <row r="105" spans="1:9" ht="28.9">
      <c r="A105" s="82" t="s">
        <v>141</v>
      </c>
      <c r="B105" s="67" t="s">
        <v>155</v>
      </c>
      <c r="C105" s="80" t="s">
        <v>156</v>
      </c>
      <c r="D105" s="36"/>
      <c r="E105" s="53" t="s">
        <v>152</v>
      </c>
      <c r="F105" s="56"/>
      <c r="G105" s="56"/>
      <c r="H105" s="56"/>
      <c r="I105" s="56"/>
    </row>
    <row r="106" spans="1:9" ht="14.45" hidden="1">
      <c r="A106" s="82" t="s">
        <v>157</v>
      </c>
      <c r="B106" s="67" t="s">
        <v>158</v>
      </c>
      <c r="C106" s="80" t="s">
        <v>159</v>
      </c>
      <c r="D106" s="36"/>
      <c r="E106" s="53"/>
      <c r="F106" s="56"/>
      <c r="G106" s="56"/>
      <c r="H106" s="56"/>
      <c r="I106" s="56"/>
    </row>
    <row r="107" spans="1:9" ht="28.9" hidden="1">
      <c r="A107" s="82" t="s">
        <v>157</v>
      </c>
      <c r="B107" s="67" t="s">
        <v>160</v>
      </c>
      <c r="C107" s="80" t="s">
        <v>161</v>
      </c>
      <c r="D107" s="36"/>
      <c r="E107" s="53"/>
      <c r="F107" s="56"/>
      <c r="G107" s="56"/>
      <c r="H107" s="56"/>
      <c r="I107" s="56"/>
    </row>
    <row r="108" spans="1:9" ht="28.9" hidden="1">
      <c r="A108" s="82" t="s">
        <v>157</v>
      </c>
      <c r="B108" s="67" t="s">
        <v>162</v>
      </c>
      <c r="C108" s="80" t="s">
        <v>163</v>
      </c>
      <c r="D108" s="36"/>
      <c r="E108" s="53"/>
      <c r="F108" s="56"/>
      <c r="G108" s="56"/>
      <c r="H108" s="56"/>
      <c r="I108" s="56"/>
    </row>
    <row r="109" spans="1:9" ht="14.45" hidden="1">
      <c r="A109" s="82" t="s">
        <v>157</v>
      </c>
      <c r="B109" s="67" t="s">
        <v>164</v>
      </c>
      <c r="C109" s="80" t="s">
        <v>165</v>
      </c>
      <c r="D109" s="36"/>
      <c r="E109" s="53"/>
      <c r="F109" s="56"/>
      <c r="G109" s="56"/>
      <c r="H109" s="56"/>
      <c r="I109" s="56"/>
    </row>
    <row r="110" spans="1:9" ht="57.6" hidden="1">
      <c r="A110" s="82" t="s">
        <v>157</v>
      </c>
      <c r="B110" s="67" t="s">
        <v>166</v>
      </c>
      <c r="C110" s="80" t="s">
        <v>167</v>
      </c>
      <c r="D110" s="36"/>
      <c r="E110" s="53"/>
      <c r="F110" s="56"/>
      <c r="G110" s="56"/>
      <c r="H110" s="56"/>
      <c r="I110" s="56"/>
    </row>
    <row r="111" spans="1:9" ht="43.15" hidden="1">
      <c r="A111" s="82" t="s">
        <v>157</v>
      </c>
      <c r="B111" s="67" t="s">
        <v>168</v>
      </c>
      <c r="C111" s="80" t="s">
        <v>169</v>
      </c>
      <c r="D111" s="36"/>
      <c r="E111" s="53"/>
      <c r="F111" s="56"/>
      <c r="G111" s="56"/>
      <c r="H111" s="56"/>
      <c r="I111" s="56"/>
    </row>
    <row r="112" spans="1:9" ht="86.45" hidden="1">
      <c r="A112" s="82" t="s">
        <v>157</v>
      </c>
      <c r="B112" s="67" t="s">
        <v>120</v>
      </c>
      <c r="C112" s="80" t="s">
        <v>121</v>
      </c>
      <c r="D112" s="36"/>
      <c r="E112" s="53"/>
      <c r="F112" s="56"/>
      <c r="G112" s="56"/>
      <c r="H112" s="56"/>
      <c r="I112" s="56"/>
    </row>
    <row r="113" spans="1:9" ht="57.6" hidden="1">
      <c r="A113" s="82" t="s">
        <v>157</v>
      </c>
      <c r="B113" s="67" t="s">
        <v>122</v>
      </c>
      <c r="C113" s="80" t="s">
        <v>123</v>
      </c>
      <c r="D113" s="36"/>
      <c r="E113" s="53"/>
      <c r="F113" s="56"/>
      <c r="G113" s="56"/>
      <c r="H113" s="56"/>
      <c r="I113" s="56"/>
    </row>
    <row r="114" spans="1:9" ht="28.9" hidden="1">
      <c r="A114" s="82" t="s">
        <v>157</v>
      </c>
      <c r="B114" s="67" t="s">
        <v>124</v>
      </c>
      <c r="C114" s="80" t="s">
        <v>125</v>
      </c>
      <c r="D114" s="36"/>
      <c r="E114" s="53"/>
      <c r="F114" s="56"/>
      <c r="G114" s="56"/>
      <c r="H114" s="56"/>
      <c r="I114" s="56"/>
    </row>
    <row r="115" spans="1:9" ht="28.9" hidden="1">
      <c r="A115" s="82" t="s">
        <v>170</v>
      </c>
      <c r="B115" s="67" t="s">
        <v>171</v>
      </c>
      <c r="C115" s="80" t="s">
        <v>172</v>
      </c>
      <c r="D115" s="36"/>
      <c r="E115" s="53"/>
      <c r="F115" s="56"/>
      <c r="G115" s="56"/>
      <c r="H115" s="56"/>
      <c r="I115" s="56"/>
    </row>
    <row r="116" spans="1:9" ht="43.15" hidden="1">
      <c r="A116" s="82" t="s">
        <v>170</v>
      </c>
      <c r="B116" s="67" t="s">
        <v>168</v>
      </c>
      <c r="C116" s="80" t="s">
        <v>169</v>
      </c>
      <c r="D116" s="36"/>
      <c r="E116" s="53"/>
      <c r="F116" s="56"/>
      <c r="G116" s="56"/>
      <c r="H116" s="56"/>
      <c r="I116" s="56"/>
    </row>
    <row r="117" spans="1:9" ht="86.45" hidden="1">
      <c r="A117" s="82" t="s">
        <v>170</v>
      </c>
      <c r="B117" s="67" t="s">
        <v>120</v>
      </c>
      <c r="C117" s="80" t="s">
        <v>121</v>
      </c>
      <c r="D117" s="36"/>
      <c r="E117" s="53"/>
      <c r="F117" s="56"/>
      <c r="G117" s="56"/>
      <c r="H117" s="56"/>
      <c r="I117" s="56"/>
    </row>
    <row r="118" spans="1:9" ht="57.6" hidden="1">
      <c r="A118" s="82" t="s">
        <v>170</v>
      </c>
      <c r="B118" s="67" t="s">
        <v>122</v>
      </c>
      <c r="C118" s="80" t="s">
        <v>123</v>
      </c>
      <c r="D118" s="36"/>
      <c r="E118" s="53"/>
      <c r="F118" s="56"/>
      <c r="G118" s="56"/>
      <c r="H118" s="56"/>
      <c r="I118" s="56"/>
    </row>
    <row r="119" spans="1:9" ht="28.9" hidden="1">
      <c r="A119" s="82" t="s">
        <v>170</v>
      </c>
      <c r="B119" s="67" t="s">
        <v>124</v>
      </c>
      <c r="C119" s="80" t="s">
        <v>125</v>
      </c>
      <c r="D119" s="36"/>
      <c r="E119" s="53"/>
      <c r="F119" s="56"/>
      <c r="G119" s="56"/>
      <c r="H119" s="56"/>
      <c r="I119" s="56"/>
    </row>
    <row r="120" spans="1:9" ht="72" hidden="1">
      <c r="A120" s="82" t="s">
        <v>170</v>
      </c>
      <c r="B120" s="67" t="s">
        <v>164</v>
      </c>
      <c r="C120" s="80" t="s">
        <v>173</v>
      </c>
      <c r="D120" s="36"/>
      <c r="E120" s="53"/>
      <c r="F120" s="56"/>
      <c r="G120" s="56"/>
      <c r="H120" s="56"/>
      <c r="I120" s="56"/>
    </row>
    <row r="121" spans="1:9" ht="14.45" hidden="1">
      <c r="A121" s="82" t="s">
        <v>170</v>
      </c>
      <c r="B121" s="67" t="s">
        <v>174</v>
      </c>
      <c r="C121" s="80" t="s">
        <v>175</v>
      </c>
      <c r="D121" s="36"/>
      <c r="E121" s="53"/>
      <c r="F121" s="56"/>
      <c r="G121" s="56"/>
      <c r="H121" s="56"/>
      <c r="I121" s="56"/>
    </row>
    <row r="122" spans="1:9" ht="28.9" hidden="1">
      <c r="A122" s="82" t="s">
        <v>170</v>
      </c>
      <c r="B122" s="67" t="s">
        <v>176</v>
      </c>
      <c r="C122" s="80" t="s">
        <v>177</v>
      </c>
      <c r="D122" s="36"/>
      <c r="E122" s="53"/>
      <c r="F122" s="56"/>
      <c r="G122" s="56"/>
      <c r="H122" s="56"/>
      <c r="I122" s="56"/>
    </row>
    <row r="123" spans="1:9" ht="14.45" hidden="1">
      <c r="A123" s="82" t="s">
        <v>178</v>
      </c>
      <c r="B123" s="67" t="s">
        <v>179</v>
      </c>
      <c r="C123" s="80" t="s">
        <v>180</v>
      </c>
      <c r="D123" s="36"/>
      <c r="E123" s="53"/>
      <c r="F123" s="56"/>
      <c r="G123" s="56"/>
      <c r="H123" s="56"/>
      <c r="I123" s="56"/>
    </row>
    <row r="124" spans="1:9" ht="57.6" hidden="1">
      <c r="A124" s="82" t="s">
        <v>178</v>
      </c>
      <c r="B124" s="67" t="s">
        <v>181</v>
      </c>
      <c r="C124" s="80" t="s">
        <v>182</v>
      </c>
      <c r="D124" s="36"/>
      <c r="E124" s="53"/>
      <c r="F124" s="56"/>
      <c r="G124" s="56"/>
      <c r="H124" s="56"/>
      <c r="I124" s="56"/>
    </row>
    <row r="125" spans="1:9" ht="72" hidden="1">
      <c r="A125" s="82" t="s">
        <v>178</v>
      </c>
      <c r="B125" s="67" t="s">
        <v>183</v>
      </c>
      <c r="C125" s="80" t="s">
        <v>184</v>
      </c>
      <c r="D125" s="36"/>
      <c r="E125" s="53"/>
      <c r="F125" s="56"/>
      <c r="G125" s="56"/>
      <c r="H125" s="56"/>
      <c r="I125" s="56"/>
    </row>
    <row r="126" spans="1:9" ht="72" hidden="1">
      <c r="A126" s="82" t="s">
        <v>178</v>
      </c>
      <c r="B126" s="67" t="s">
        <v>185</v>
      </c>
      <c r="C126" s="80" t="s">
        <v>186</v>
      </c>
      <c r="D126" s="36"/>
      <c r="E126" s="53"/>
      <c r="F126" s="56"/>
      <c r="G126" s="56"/>
      <c r="H126" s="56"/>
      <c r="I126" s="56"/>
    </row>
    <row r="127" spans="1:9" ht="72" hidden="1">
      <c r="A127" s="82" t="s">
        <v>178</v>
      </c>
      <c r="B127" s="67" t="s">
        <v>187</v>
      </c>
      <c r="C127" s="80" t="s">
        <v>188</v>
      </c>
      <c r="D127" s="36"/>
      <c r="E127" s="53"/>
      <c r="F127" s="56"/>
      <c r="G127" s="56"/>
      <c r="H127" s="56"/>
      <c r="I127" s="56"/>
    </row>
    <row r="128" spans="1:9" ht="28.9" hidden="1">
      <c r="A128" s="82" t="s">
        <v>178</v>
      </c>
      <c r="B128" s="67" t="s">
        <v>189</v>
      </c>
      <c r="C128" s="80" t="s">
        <v>190</v>
      </c>
      <c r="D128" s="36"/>
      <c r="E128" s="53"/>
      <c r="F128" s="56"/>
      <c r="G128" s="56"/>
      <c r="H128" s="56"/>
      <c r="I128" s="56"/>
    </row>
    <row r="129" spans="1:9" ht="86.45" hidden="1">
      <c r="A129" s="82" t="s">
        <v>178</v>
      </c>
      <c r="B129" s="67" t="s">
        <v>191</v>
      </c>
      <c r="C129" s="80" t="s">
        <v>192</v>
      </c>
      <c r="D129" s="36"/>
      <c r="E129" s="53"/>
      <c r="F129" s="56"/>
      <c r="G129" s="56"/>
      <c r="H129" s="56"/>
      <c r="I129" s="56"/>
    </row>
    <row r="130" spans="1:9" ht="43.15" hidden="1">
      <c r="A130" s="82" t="s">
        <v>178</v>
      </c>
      <c r="B130" s="67" t="s">
        <v>193</v>
      </c>
      <c r="C130" s="80" t="s">
        <v>194</v>
      </c>
      <c r="D130" s="36"/>
      <c r="E130" s="53"/>
      <c r="F130" s="56"/>
      <c r="G130" s="56"/>
      <c r="H130" s="56"/>
      <c r="I130" s="56"/>
    </row>
    <row r="131" spans="1:9" ht="86.45" hidden="1">
      <c r="A131" s="82" t="s">
        <v>178</v>
      </c>
      <c r="B131" s="67" t="s">
        <v>120</v>
      </c>
      <c r="C131" s="80" t="s">
        <v>121</v>
      </c>
      <c r="D131" s="36"/>
      <c r="E131" s="53"/>
      <c r="F131" s="56"/>
      <c r="G131" s="56"/>
      <c r="H131" s="56"/>
      <c r="I131" s="56"/>
    </row>
    <row r="132" spans="1:9" ht="43.15" hidden="1">
      <c r="A132" s="82" t="s">
        <v>178</v>
      </c>
      <c r="B132" s="67" t="s">
        <v>168</v>
      </c>
      <c r="C132" s="80" t="s">
        <v>169</v>
      </c>
      <c r="D132" s="36"/>
      <c r="E132" s="53"/>
      <c r="F132" s="56"/>
      <c r="G132" s="56"/>
      <c r="H132" s="56"/>
      <c r="I132" s="56"/>
    </row>
    <row r="133" spans="1:9" ht="57.6" hidden="1">
      <c r="A133" s="82" t="s">
        <v>178</v>
      </c>
      <c r="B133" s="67" t="s">
        <v>122</v>
      </c>
      <c r="C133" s="80" t="s">
        <v>123</v>
      </c>
      <c r="D133" s="36"/>
      <c r="E133" s="53"/>
      <c r="F133" s="56"/>
      <c r="G133" s="56"/>
      <c r="H133" s="56"/>
      <c r="I133" s="56"/>
    </row>
    <row r="134" spans="1:9" ht="28.9" hidden="1">
      <c r="A134" s="82" t="s">
        <v>178</v>
      </c>
      <c r="B134" s="67" t="s">
        <v>124</v>
      </c>
      <c r="C134" s="80" t="s">
        <v>125</v>
      </c>
      <c r="D134" s="36"/>
      <c r="E134" s="53"/>
      <c r="F134" s="56"/>
      <c r="G134" s="56"/>
      <c r="H134" s="56"/>
      <c r="I134" s="56"/>
    </row>
    <row r="135" spans="1:9" ht="14.45" hidden="1">
      <c r="A135" s="82" t="s">
        <v>178</v>
      </c>
      <c r="B135" s="67" t="s">
        <v>195</v>
      </c>
      <c r="C135" s="80" t="s">
        <v>196</v>
      </c>
      <c r="D135" s="36"/>
      <c r="E135" s="53"/>
      <c r="F135" s="56"/>
      <c r="G135" s="56"/>
      <c r="H135" s="56"/>
      <c r="I135" s="56"/>
    </row>
    <row r="136" spans="1:9" ht="43.15" hidden="1">
      <c r="A136" s="82" t="s">
        <v>178</v>
      </c>
      <c r="B136" s="67" t="s">
        <v>197</v>
      </c>
      <c r="C136" s="80" t="s">
        <v>198</v>
      </c>
      <c r="D136" s="36"/>
      <c r="E136" s="53"/>
      <c r="F136" s="56"/>
      <c r="G136" s="56"/>
      <c r="H136" s="56"/>
      <c r="I136" s="56"/>
    </row>
    <row r="137" spans="1:9" ht="43.15" hidden="1">
      <c r="A137" s="82" t="s">
        <v>199</v>
      </c>
      <c r="B137" s="67" t="s">
        <v>197</v>
      </c>
      <c r="C137" s="80" t="s">
        <v>198</v>
      </c>
      <c r="D137" s="36"/>
      <c r="E137" s="53"/>
      <c r="F137" s="56"/>
      <c r="G137" s="56"/>
      <c r="H137" s="56"/>
      <c r="I137" s="56"/>
    </row>
    <row r="138" spans="1:9" ht="100.9" hidden="1">
      <c r="A138" s="82" t="s">
        <v>199</v>
      </c>
      <c r="B138" s="67" t="s">
        <v>200</v>
      </c>
      <c r="C138" s="80" t="s">
        <v>201</v>
      </c>
      <c r="D138" s="36"/>
      <c r="E138" s="53"/>
      <c r="F138" s="56"/>
      <c r="G138" s="56"/>
      <c r="H138" s="56"/>
      <c r="I138" s="56"/>
    </row>
    <row r="139" spans="1:9" ht="100.9" hidden="1">
      <c r="A139" s="82" t="s">
        <v>199</v>
      </c>
      <c r="B139" s="67" t="s">
        <v>202</v>
      </c>
      <c r="C139" s="80" t="s">
        <v>203</v>
      </c>
      <c r="D139" s="36"/>
      <c r="E139" s="53"/>
      <c r="F139" s="56"/>
      <c r="G139" s="56"/>
      <c r="H139" s="56"/>
      <c r="I139" s="56"/>
    </row>
    <row r="140" spans="1:9" ht="57.6" hidden="1">
      <c r="A140" s="82" t="s">
        <v>199</v>
      </c>
      <c r="B140" s="67" t="s">
        <v>204</v>
      </c>
      <c r="C140" s="80" t="s">
        <v>205</v>
      </c>
      <c r="D140" s="36"/>
      <c r="E140" s="53"/>
      <c r="F140" s="56"/>
      <c r="G140" s="56"/>
      <c r="H140" s="56"/>
      <c r="I140" s="56"/>
    </row>
    <row r="141" spans="1:9" ht="28.9" hidden="1">
      <c r="A141" s="82" t="s">
        <v>199</v>
      </c>
      <c r="B141" s="67" t="s">
        <v>206</v>
      </c>
      <c r="C141" s="80" t="s">
        <v>207</v>
      </c>
      <c r="D141" s="36"/>
      <c r="E141" s="53"/>
      <c r="F141" s="56"/>
      <c r="G141" s="56"/>
      <c r="H141" s="56"/>
      <c r="I141" s="56"/>
    </row>
    <row r="142" spans="1:9" ht="57.6" hidden="1">
      <c r="A142" s="82" t="s">
        <v>199</v>
      </c>
      <c r="B142" s="67" t="s">
        <v>208</v>
      </c>
      <c r="C142" s="80" t="s">
        <v>209</v>
      </c>
      <c r="D142" s="36"/>
      <c r="E142" s="53"/>
      <c r="F142" s="56"/>
      <c r="G142" s="56"/>
      <c r="H142" s="56"/>
      <c r="I142" s="56"/>
    </row>
    <row r="143" spans="1:9" ht="43.15" hidden="1">
      <c r="A143" s="82" t="s">
        <v>199</v>
      </c>
      <c r="B143" s="67" t="s">
        <v>210</v>
      </c>
      <c r="C143" s="80" t="s">
        <v>211</v>
      </c>
      <c r="D143" s="36"/>
      <c r="E143" s="53"/>
      <c r="F143" s="56"/>
      <c r="G143" s="56"/>
      <c r="H143" s="56"/>
      <c r="I143" s="56"/>
    </row>
    <row r="144" spans="1:9" ht="28.9" hidden="1">
      <c r="A144" s="82" t="s">
        <v>199</v>
      </c>
      <c r="B144" s="67" t="s">
        <v>212</v>
      </c>
      <c r="C144" s="80" t="s">
        <v>213</v>
      </c>
      <c r="D144" s="36"/>
      <c r="E144" s="53"/>
      <c r="F144" s="56"/>
      <c r="G144" s="56"/>
      <c r="H144" s="56"/>
      <c r="I144" s="56"/>
    </row>
    <row r="145" spans="1:9" ht="43.15">
      <c r="A145" s="122" t="s">
        <v>214</v>
      </c>
      <c r="B145" s="128" t="s">
        <v>215</v>
      </c>
      <c r="C145" s="124" t="s">
        <v>216</v>
      </c>
      <c r="D145" s="125"/>
      <c r="E145" s="126"/>
      <c r="F145" s="127"/>
      <c r="G145" s="127"/>
      <c r="H145" s="127"/>
      <c r="I145" s="127"/>
    </row>
    <row r="146" spans="1:9" ht="57.6">
      <c r="A146" s="122" t="s">
        <v>217</v>
      </c>
      <c r="B146" s="128" t="s">
        <v>218</v>
      </c>
      <c r="C146" s="129" t="s">
        <v>219</v>
      </c>
      <c r="D146" s="125"/>
      <c r="E146" s="126"/>
      <c r="F146" s="127"/>
      <c r="G146" s="127"/>
      <c r="H146" s="127"/>
      <c r="I146" s="127"/>
    </row>
    <row r="147" spans="1:9" ht="57.6">
      <c r="A147" s="122" t="s">
        <v>217</v>
      </c>
      <c r="B147" s="128" t="s">
        <v>220</v>
      </c>
      <c r="C147" s="129" t="s">
        <v>221</v>
      </c>
      <c r="D147" s="125"/>
      <c r="E147" s="126"/>
      <c r="F147" s="127"/>
      <c r="G147" s="127"/>
      <c r="H147" s="127"/>
      <c r="I147" s="127"/>
    </row>
    <row r="148" spans="1:9" ht="57.6">
      <c r="A148" s="122" t="s">
        <v>217</v>
      </c>
      <c r="B148" s="128" t="s">
        <v>222</v>
      </c>
      <c r="C148" s="129" t="s">
        <v>223</v>
      </c>
      <c r="D148" s="125"/>
      <c r="E148" s="126"/>
      <c r="F148" s="127"/>
      <c r="G148" s="127"/>
      <c r="H148" s="127"/>
      <c r="I148" s="127"/>
    </row>
    <row r="149" spans="1:9" ht="72">
      <c r="A149" s="122" t="s">
        <v>217</v>
      </c>
      <c r="B149" s="128" t="s">
        <v>224</v>
      </c>
      <c r="C149" s="129" t="s">
        <v>225</v>
      </c>
      <c r="D149" s="125"/>
      <c r="E149" s="126"/>
      <c r="F149" s="127"/>
      <c r="G149" s="127"/>
      <c r="H149" s="127"/>
      <c r="I149" s="127"/>
    </row>
    <row r="150" spans="1:9" ht="86.45">
      <c r="A150" s="122" t="s">
        <v>217</v>
      </c>
      <c r="B150" s="128" t="s">
        <v>226</v>
      </c>
      <c r="C150" s="129" t="s">
        <v>227</v>
      </c>
      <c r="D150" s="125"/>
      <c r="E150" s="126"/>
      <c r="F150" s="127"/>
      <c r="G150" s="127"/>
      <c r="H150" s="127"/>
      <c r="I150" s="127"/>
    </row>
    <row r="151" spans="1:9" ht="86.45">
      <c r="A151" s="122" t="s">
        <v>214</v>
      </c>
      <c r="B151" s="128" t="s">
        <v>127</v>
      </c>
      <c r="C151" s="129" t="s">
        <v>228</v>
      </c>
      <c r="D151" s="125"/>
      <c r="E151" s="126"/>
      <c r="F151" s="127"/>
      <c r="G151" s="127"/>
      <c r="H151" s="127"/>
      <c r="I151" s="127"/>
    </row>
    <row r="152" spans="1:9" ht="144">
      <c r="A152" s="122" t="s">
        <v>217</v>
      </c>
      <c r="B152" s="128" t="s">
        <v>229</v>
      </c>
      <c r="C152" s="129" t="s">
        <v>230</v>
      </c>
      <c r="D152" s="125"/>
      <c r="E152" s="126"/>
      <c r="F152" s="127"/>
      <c r="G152" s="127"/>
      <c r="H152" s="127"/>
      <c r="I152" s="127"/>
    </row>
    <row r="153" spans="1:9" ht="100.9">
      <c r="A153" s="122" t="s">
        <v>217</v>
      </c>
      <c r="B153" s="128" t="s">
        <v>231</v>
      </c>
      <c r="C153" s="129" t="s">
        <v>232</v>
      </c>
      <c r="D153" s="125"/>
      <c r="E153" s="126"/>
      <c r="F153" s="127"/>
      <c r="G153" s="127"/>
      <c r="H153" s="127"/>
      <c r="I153" s="127"/>
    </row>
    <row r="154" spans="1:9" ht="86.45">
      <c r="A154" s="122" t="s">
        <v>217</v>
      </c>
      <c r="B154" s="128" t="s">
        <v>233</v>
      </c>
      <c r="C154" s="129" t="s">
        <v>234</v>
      </c>
      <c r="D154" s="125"/>
      <c r="E154" s="126"/>
      <c r="F154" s="127"/>
      <c r="G154" s="127"/>
      <c r="H154" s="127"/>
      <c r="I154" s="127"/>
    </row>
    <row r="155" spans="1:9" ht="43.15">
      <c r="A155" s="122" t="s">
        <v>217</v>
      </c>
      <c r="B155" s="128" t="s">
        <v>235</v>
      </c>
      <c r="C155" s="129" t="s">
        <v>236</v>
      </c>
      <c r="D155" s="125"/>
      <c r="E155" s="126"/>
      <c r="F155" s="127"/>
      <c r="G155" s="127"/>
      <c r="H155" s="127"/>
      <c r="I155" s="127"/>
    </row>
    <row r="156" spans="1:9" ht="43.15">
      <c r="A156" s="122" t="s">
        <v>217</v>
      </c>
      <c r="B156" s="128" t="s">
        <v>122</v>
      </c>
      <c r="C156" s="129" t="s">
        <v>237</v>
      </c>
      <c r="D156" s="125"/>
      <c r="E156" s="126"/>
      <c r="F156" s="127"/>
      <c r="G156" s="127"/>
      <c r="H156" s="127"/>
      <c r="I156" s="127"/>
    </row>
    <row r="157" spans="1:9" ht="110.45" customHeight="1">
      <c r="A157" s="43"/>
      <c r="B157" s="67" t="s">
        <v>238</v>
      </c>
      <c r="C157" s="78" t="s">
        <v>239</v>
      </c>
      <c r="D157" s="36"/>
      <c r="E157" s="53"/>
      <c r="F157" s="56"/>
      <c r="G157" s="56"/>
      <c r="H157" s="56"/>
      <c r="I157" s="56"/>
    </row>
    <row r="158" spans="1:9" ht="132.6" customHeight="1">
      <c r="A158" s="43"/>
      <c r="B158" s="67" t="s">
        <v>240</v>
      </c>
      <c r="C158" s="45" t="s">
        <v>241</v>
      </c>
      <c r="D158" s="36"/>
      <c r="E158" s="53"/>
      <c r="F158" s="56"/>
      <c r="G158" s="56"/>
      <c r="H158" s="56"/>
      <c r="I158" s="56"/>
    </row>
    <row r="159" spans="1:9" ht="129.6">
      <c r="A159" s="75"/>
      <c r="B159" s="83" t="s">
        <v>242</v>
      </c>
      <c r="C159" s="79" t="s">
        <v>243</v>
      </c>
      <c r="D159" s="44"/>
      <c r="E159" s="54"/>
      <c r="F159" s="57"/>
      <c r="G159" s="57"/>
      <c r="H159" s="57"/>
      <c r="I159" s="58"/>
    </row>
    <row r="160" spans="1:9" ht="49.9" customHeight="1">
      <c r="A160"/>
      <c r="B160" s="83" t="s">
        <v>27</v>
      </c>
      <c r="C160" s="60" t="s">
        <v>244</v>
      </c>
      <c r="D160" s="44"/>
      <c r="E160" s="54"/>
      <c r="F160" s="57"/>
      <c r="G160" s="57"/>
      <c r="H160" s="57"/>
      <c r="I160" s="58"/>
    </row>
    <row r="161" spans="1:9" ht="15">
      <c r="A161"/>
      <c r="B161" s="62"/>
      <c r="C161" s="63"/>
      <c r="E161" s="61"/>
      <c r="F161" s="61"/>
      <c r="G161" s="61"/>
      <c r="H161" s="61"/>
      <c r="I161" s="61"/>
    </row>
    <row r="162" spans="1:9" ht="18">
      <c r="A162"/>
      <c r="B162" s="12" t="s">
        <v>245</v>
      </c>
      <c r="C162" s="63"/>
      <c r="E162" s="61"/>
      <c r="F162" s="61"/>
      <c r="G162" s="61"/>
      <c r="H162" s="61"/>
      <c r="I162" s="61"/>
    </row>
    <row r="163" spans="1:9" ht="48" customHeight="1">
      <c r="A163"/>
      <c r="B163" s="64" t="s">
        <v>246</v>
      </c>
      <c r="C163" s="172"/>
      <c r="D163" s="173"/>
      <c r="E163" s="173"/>
      <c r="F163" s="173"/>
      <c r="G163" s="173"/>
      <c r="H163" s="173"/>
      <c r="I163" s="174"/>
    </row>
    <row r="164" spans="1:9" ht="49.15" customHeight="1">
      <c r="A164"/>
      <c r="B164" s="65" t="s">
        <v>247</v>
      </c>
      <c r="C164" s="173"/>
      <c r="D164" s="173"/>
      <c r="E164" s="173"/>
      <c r="F164" s="173"/>
      <c r="G164" s="173"/>
      <c r="H164" s="173"/>
      <c r="I164" s="174"/>
    </row>
    <row r="165" spans="1:9" ht="15">
      <c r="A165"/>
      <c r="B165" s="62"/>
      <c r="C165" s="63"/>
      <c r="E165" s="61"/>
      <c r="F165" s="61"/>
      <c r="G165" s="61"/>
      <c r="H165" s="61"/>
      <c r="I165" s="61"/>
    </row>
    <row r="166" spans="1:9" ht="16.899999999999999" customHeight="1">
      <c r="B166" s="12" t="s">
        <v>248</v>
      </c>
    </row>
    <row r="168" spans="1:9" ht="27" customHeight="1">
      <c r="B168" s="35" t="s">
        <v>249</v>
      </c>
      <c r="C168" s="35" t="s">
        <v>250</v>
      </c>
      <c r="D168" s="169" t="s">
        <v>251</v>
      </c>
      <c r="E168" s="169"/>
      <c r="F168" s="179" t="s">
        <v>252</v>
      </c>
      <c r="G168" s="180"/>
      <c r="H168" s="181" t="s">
        <v>253</v>
      </c>
      <c r="I168" s="182"/>
    </row>
    <row r="169" spans="1:9" ht="256.89999999999998" customHeight="1">
      <c r="B169" s="68"/>
      <c r="C169" s="68"/>
      <c r="D169" s="170"/>
      <c r="E169" s="171"/>
      <c r="F169" s="177"/>
      <c r="G169" s="178"/>
      <c r="H169" s="175"/>
      <c r="I169" s="176"/>
    </row>
    <row r="170" spans="1:9" ht="45" customHeight="1">
      <c r="B170" s="68"/>
      <c r="C170" s="68"/>
      <c r="D170" s="170"/>
      <c r="E170" s="171"/>
      <c r="F170" s="177"/>
      <c r="G170" s="178"/>
      <c r="H170" s="175"/>
      <c r="I170" s="176"/>
    </row>
    <row r="171" spans="1:9" ht="14.45">
      <c r="B171" s="68"/>
      <c r="C171" s="68"/>
      <c r="D171" s="170"/>
      <c r="E171" s="171"/>
      <c r="F171" s="177"/>
      <c r="G171" s="178"/>
      <c r="H171" s="175"/>
      <c r="I171" s="176"/>
    </row>
    <row r="172" spans="1:9" ht="45" customHeight="1">
      <c r="B172" s="68"/>
      <c r="C172" s="68"/>
      <c r="D172" s="170"/>
      <c r="E172" s="171"/>
      <c r="F172" s="177"/>
      <c r="G172" s="178"/>
      <c r="H172" s="175"/>
      <c r="I172" s="176"/>
    </row>
    <row r="173" spans="1:9" ht="16.899999999999999" customHeight="1">
      <c r="B173" s="73" t="s">
        <v>254</v>
      </c>
      <c r="C173" s="71"/>
      <c r="D173" s="71"/>
      <c r="E173" s="71"/>
      <c r="F173" s="72"/>
    </row>
    <row r="174" spans="1:9" ht="45" customHeight="1">
      <c r="B174" s="68"/>
      <c r="C174" s="68"/>
      <c r="D174" s="170"/>
      <c r="E174" s="171"/>
      <c r="F174" s="177"/>
      <c r="G174" s="178"/>
      <c r="H174" s="175"/>
      <c r="I174" s="176"/>
    </row>
    <row r="175" spans="1:9" ht="45" customHeight="1">
      <c r="B175" s="68"/>
      <c r="C175" s="68"/>
      <c r="D175" s="170"/>
      <c r="E175" s="171"/>
      <c r="F175" s="177"/>
      <c r="G175" s="178"/>
      <c r="H175" s="175"/>
      <c r="I175" s="176"/>
    </row>
    <row r="176" spans="1:9" ht="16.899999999999999" customHeight="1">
      <c r="B176" s="74" t="s">
        <v>255</v>
      </c>
      <c r="C176" s="71"/>
      <c r="D176" s="71"/>
      <c r="E176" s="71"/>
      <c r="F176" s="72"/>
    </row>
    <row r="177" spans="2:9" ht="45" customHeight="1">
      <c r="B177" s="191"/>
      <c r="C177" s="173"/>
      <c r="D177" s="173"/>
      <c r="E177" s="173"/>
      <c r="F177" s="173"/>
      <c r="G177" s="173"/>
      <c r="H177" s="173"/>
      <c r="I177" s="174"/>
    </row>
    <row r="179" spans="2:9" ht="16.899999999999999" customHeight="1">
      <c r="B179" s="49" t="s">
        <v>256</v>
      </c>
    </row>
    <row r="181" spans="2:9" ht="26.45" customHeight="1">
      <c r="B181" s="48" t="s">
        <v>257</v>
      </c>
      <c r="C181" s="187" t="s">
        <v>258</v>
      </c>
      <c r="D181" s="187"/>
      <c r="E181" s="187"/>
      <c r="F181" s="66"/>
      <c r="G181" s="186" t="s">
        <v>253</v>
      </c>
      <c r="H181" s="186"/>
      <c r="I181" s="69" t="s">
        <v>259</v>
      </c>
    </row>
    <row r="182" spans="2:9" ht="247.9" customHeight="1">
      <c r="B182" s="68" t="str">
        <f>IF(B169="","",B169)</f>
        <v/>
      </c>
      <c r="C182" s="183"/>
      <c r="D182" s="184"/>
      <c r="E182" s="184"/>
      <c r="F182" s="185"/>
      <c r="G182" s="170" t="str">
        <f>IF(H169="","",H169)</f>
        <v/>
      </c>
      <c r="H182" s="171"/>
      <c r="I182" s="85" t="s">
        <v>260</v>
      </c>
    </row>
    <row r="183" spans="2:9" ht="94.15" customHeight="1">
      <c r="B183" s="68" t="str">
        <f t="shared" ref="B183:B185" si="0">IF(B170="","",B170)</f>
        <v/>
      </c>
      <c r="C183" s="183"/>
      <c r="D183" s="184"/>
      <c r="E183" s="184"/>
      <c r="F183" s="185"/>
      <c r="G183" s="170" t="str">
        <f t="shared" ref="G183:G185" si="1">IF(H170="","",H170)</f>
        <v/>
      </c>
      <c r="H183" s="171"/>
      <c r="I183" s="85" t="s">
        <v>260</v>
      </c>
    </row>
    <row r="184" spans="2:9" ht="14.45">
      <c r="B184" s="68" t="str">
        <f t="shared" si="0"/>
        <v/>
      </c>
      <c r="C184" s="183"/>
      <c r="D184" s="184"/>
      <c r="E184" s="184"/>
      <c r="F184" s="185"/>
      <c r="G184" s="170" t="str">
        <f t="shared" si="1"/>
        <v/>
      </c>
      <c r="H184" s="171"/>
      <c r="I184" s="85" t="s">
        <v>260</v>
      </c>
    </row>
    <row r="185" spans="2:9" ht="61.15" customHeight="1">
      <c r="B185" s="68" t="str">
        <f t="shared" si="0"/>
        <v/>
      </c>
      <c r="C185" s="183" t="s">
        <v>261</v>
      </c>
      <c r="D185" s="184"/>
      <c r="E185" s="184"/>
      <c r="F185" s="185"/>
      <c r="G185" s="170" t="str">
        <f t="shared" si="1"/>
        <v/>
      </c>
      <c r="H185" s="171"/>
      <c r="I185" s="85"/>
    </row>
    <row r="186" spans="2:9" ht="45" customHeight="1">
      <c r="B186" s="68" t="str">
        <f>IF(B174="","",B174)</f>
        <v/>
      </c>
      <c r="C186" s="183"/>
      <c r="D186" s="184"/>
      <c r="E186" s="184"/>
      <c r="F186" s="185"/>
      <c r="G186" s="170" t="str">
        <f>IF(H174="","",H174)</f>
        <v/>
      </c>
      <c r="H186" s="171"/>
      <c r="I186" s="85"/>
    </row>
    <row r="187" spans="2:9" ht="45" customHeight="1">
      <c r="B187" s="68" t="str">
        <f>IF(B175="","",B175)</f>
        <v/>
      </c>
      <c r="C187" s="183"/>
      <c r="D187" s="184"/>
      <c r="E187" s="184"/>
      <c r="F187" s="185"/>
      <c r="G187" s="170" t="str">
        <f>IF(H175="","",H175)</f>
        <v/>
      </c>
      <c r="H187" s="171"/>
      <c r="I187" s="85"/>
    </row>
    <row r="190" spans="2:9" ht="16.899999999999999" customHeight="1">
      <c r="B190" s="50" t="s">
        <v>262</v>
      </c>
    </row>
    <row r="192" spans="2:9" ht="26.45" customHeight="1">
      <c r="B192" s="51" t="s">
        <v>257</v>
      </c>
      <c r="C192" s="188" t="s">
        <v>258</v>
      </c>
      <c r="D192" s="188"/>
      <c r="E192" s="188"/>
      <c r="F192" s="188"/>
      <c r="G192" s="190" t="s">
        <v>253</v>
      </c>
      <c r="H192" s="190"/>
      <c r="I192" s="70" t="s">
        <v>259</v>
      </c>
    </row>
    <row r="193" spans="2:9" ht="259.14999999999998">
      <c r="B193" s="68" t="str">
        <f>IF(I182="Ja",B182,"")</f>
        <v/>
      </c>
      <c r="C193" s="170"/>
      <c r="D193" s="189"/>
      <c r="E193" s="189"/>
      <c r="F193" s="171"/>
      <c r="G193" s="175" t="str">
        <f>IF(I182="Ja",G182,"")</f>
        <v/>
      </c>
      <c r="H193" s="176"/>
      <c r="I193" s="85"/>
    </row>
    <row r="194" spans="2:9" ht="45" customHeight="1">
      <c r="B194" s="68" t="str">
        <f t="shared" ref="B194:B196" si="2">IF(I183="Ja",B183,"")</f>
        <v/>
      </c>
      <c r="C194" s="170"/>
      <c r="D194" s="189"/>
      <c r="E194" s="189"/>
      <c r="F194" s="171"/>
      <c r="G194" s="175" t="str">
        <f t="shared" ref="G194:G196" si="3">IF(I183="Ja",G183,"")</f>
        <v/>
      </c>
      <c r="H194" s="176"/>
      <c r="I194" s="85"/>
    </row>
    <row r="195" spans="2:9" ht="45" customHeight="1">
      <c r="B195" s="68" t="str">
        <f t="shared" si="2"/>
        <v/>
      </c>
      <c r="C195" s="170"/>
      <c r="D195" s="189"/>
      <c r="E195" s="189"/>
      <c r="F195" s="171"/>
      <c r="G195" s="175" t="str">
        <f t="shared" si="3"/>
        <v/>
      </c>
      <c r="H195" s="176"/>
      <c r="I195" s="85"/>
    </row>
    <row r="196" spans="2:9" ht="45" customHeight="1">
      <c r="B196" s="68" t="str">
        <f t="shared" si="2"/>
        <v/>
      </c>
      <c r="C196" s="170"/>
      <c r="D196" s="189"/>
      <c r="E196" s="189"/>
      <c r="F196" s="171"/>
      <c r="G196" s="175" t="str">
        <f t="shared" si="3"/>
        <v/>
      </c>
      <c r="H196" s="176"/>
      <c r="I196" s="85"/>
    </row>
    <row r="197" spans="2:9" ht="45" customHeight="1">
      <c r="B197" s="68" t="str">
        <f t="shared" ref="B197:B198" si="4">IF(I186="Ja",B186,"")</f>
        <v/>
      </c>
      <c r="C197" s="170"/>
      <c r="D197" s="189"/>
      <c r="E197" s="189"/>
      <c r="F197" s="171"/>
      <c r="G197" s="175" t="str">
        <f t="shared" ref="G197:G198" si="5">IF(I186="Ja",G186,"")</f>
        <v/>
      </c>
      <c r="H197" s="176"/>
      <c r="I197" s="85"/>
    </row>
    <row r="198" spans="2:9" ht="45" customHeight="1">
      <c r="B198" s="68" t="str">
        <f t="shared" si="4"/>
        <v/>
      </c>
      <c r="C198" s="170"/>
      <c r="D198" s="189"/>
      <c r="E198" s="189"/>
      <c r="F198" s="171"/>
      <c r="G198" s="175" t="str">
        <f t="shared" si="5"/>
        <v/>
      </c>
      <c r="H198" s="176"/>
      <c r="I198" s="85"/>
    </row>
  </sheetData>
  <mergeCells count="87">
    <mergeCell ref="C197:F197"/>
    <mergeCell ref="G197:H197"/>
    <mergeCell ref="C198:F198"/>
    <mergeCell ref="G198:H198"/>
    <mergeCell ref="C194:F194"/>
    <mergeCell ref="G194:H194"/>
    <mergeCell ref="C195:F195"/>
    <mergeCell ref="G195:H195"/>
    <mergeCell ref="C196:F196"/>
    <mergeCell ref="G196:H196"/>
    <mergeCell ref="B177:I177"/>
    <mergeCell ref="C186:F186"/>
    <mergeCell ref="G186:H186"/>
    <mergeCell ref="C185:F185"/>
    <mergeCell ref="G185:H185"/>
    <mergeCell ref="C184:F184"/>
    <mergeCell ref="G184:H184"/>
    <mergeCell ref="H172:I172"/>
    <mergeCell ref="F174:G174"/>
    <mergeCell ref="H174:I174"/>
    <mergeCell ref="D174:E174"/>
    <mergeCell ref="D175:E175"/>
    <mergeCell ref="C192:F192"/>
    <mergeCell ref="C193:F193"/>
    <mergeCell ref="G192:H192"/>
    <mergeCell ref="G193:H193"/>
    <mergeCell ref="C187:F187"/>
    <mergeCell ref="G187:H187"/>
    <mergeCell ref="D170:E170"/>
    <mergeCell ref="D171:E171"/>
    <mergeCell ref="D172:E172"/>
    <mergeCell ref="C183:F183"/>
    <mergeCell ref="G183:H183"/>
    <mergeCell ref="F175:G175"/>
    <mergeCell ref="H175:I175"/>
    <mergeCell ref="C182:F182"/>
    <mergeCell ref="G181:H181"/>
    <mergeCell ref="G182:H182"/>
    <mergeCell ref="F170:G170"/>
    <mergeCell ref="H170:I170"/>
    <mergeCell ref="C181:E181"/>
    <mergeCell ref="F171:G171"/>
    <mergeCell ref="H171:I171"/>
    <mergeCell ref="F172:G172"/>
    <mergeCell ref="E75:I75"/>
    <mergeCell ref="E76:I76"/>
    <mergeCell ref="D168:E168"/>
    <mergeCell ref="D169:E169"/>
    <mergeCell ref="C163:I163"/>
    <mergeCell ref="C164:I164"/>
    <mergeCell ref="H169:I169"/>
    <mergeCell ref="F169:G169"/>
    <mergeCell ref="F168:G168"/>
    <mergeCell ref="H168:I168"/>
    <mergeCell ref="C20:I20"/>
    <mergeCell ref="G4:I4"/>
    <mergeCell ref="E5:F5"/>
    <mergeCell ref="E6:F6"/>
    <mergeCell ref="E7:F7"/>
    <mergeCell ref="E8:F8"/>
    <mergeCell ref="E9:F9"/>
    <mergeCell ref="C13:I13"/>
    <mergeCell ref="C14:I14"/>
    <mergeCell ref="C15:I15"/>
    <mergeCell ref="C18:I18"/>
    <mergeCell ref="C19:I19"/>
    <mergeCell ref="C21:I21"/>
    <mergeCell ref="C22:I22"/>
    <mergeCell ref="C23:I23"/>
    <mergeCell ref="C24:I24"/>
    <mergeCell ref="C29:I29"/>
    <mergeCell ref="C25:I25"/>
    <mergeCell ref="C26:I26"/>
    <mergeCell ref="C30:I30"/>
    <mergeCell ref="C33:I33"/>
    <mergeCell ref="C34:I34"/>
    <mergeCell ref="C35:I35"/>
    <mergeCell ref="C38:I38"/>
    <mergeCell ref="C47:I47"/>
    <mergeCell ref="E50:I50"/>
    <mergeCell ref="E49:I49"/>
    <mergeCell ref="C39:I39"/>
    <mergeCell ref="C40:I40"/>
    <mergeCell ref="C44:I44"/>
    <mergeCell ref="C45:I45"/>
    <mergeCell ref="C46:I46"/>
    <mergeCell ref="C43:I43"/>
  </mergeCells>
  <conditionalFormatting sqref="E78:I160">
    <cfRule type="cellIs" dxfId="83" priority="1" operator="equal">
      <formula>"slecht"</formula>
    </cfRule>
    <cfRule type="cellIs" dxfId="82" priority="2" operator="equal">
      <formula>"minder goed"</formula>
    </cfRule>
    <cfRule type="cellIs" dxfId="81" priority="3" operator="equal">
      <formula>"middelmatig"</formula>
    </cfRule>
    <cfRule type="cellIs" dxfId="80" priority="4" operator="equal">
      <formula>"goed"</formula>
    </cfRule>
    <cfRule type="cellIs" dxfId="79" priority="5" operator="equal">
      <formula>"zeer goed"</formula>
    </cfRule>
  </conditionalFormatting>
  <conditionalFormatting sqref="E52:I61">
    <cfRule type="cellIs" dxfId="78" priority="11" operator="equal">
      <formula>"slecht"</formula>
    </cfRule>
    <cfRule type="cellIs" dxfId="77" priority="12" operator="equal">
      <formula>"minder goed"</formula>
    </cfRule>
    <cfRule type="cellIs" dxfId="76" priority="13" operator="equal">
      <formula>"middelmatig"</formula>
    </cfRule>
    <cfRule type="cellIs" dxfId="75" priority="14" operator="equal">
      <formula>"goed"</formula>
    </cfRule>
    <cfRule type="cellIs" dxfId="74" priority="15" operator="equal">
      <formula>"zeer goed"</formula>
    </cfRule>
  </conditionalFormatting>
  <pageMargins left="0.19685039370078741" right="0.19685039370078741" top="0.35433070866141736" bottom="0.35433070866141736" header="0.31496062992125984" footer="0.31496062992125984"/>
  <pageSetup paperSize="9" orientation="landscape" r:id="rId1"/>
  <rowBreaks count="7" manualBreakCount="7">
    <brk id="36" max="16383" man="1"/>
    <brk id="47" max="16383" man="1"/>
    <brk id="62" max="16383" man="1"/>
    <brk id="161" max="16383" man="1"/>
    <brk id="165" max="16383" man="1"/>
    <brk id="178" max="16383" man="1"/>
    <brk id="189" max="16383"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0000000}">
          <x14:formula1>
            <xm:f>Codes!$A$28:$A$32</xm:f>
          </x14:formula1>
          <xm:sqref>E165:I165 E161:I162 E52:I61</xm:sqref>
        </x14:dataValidation>
        <x14:dataValidation type="list" allowBlank="1" showInputMessage="1" showErrorMessage="1" xr:uid="{00000000-0002-0000-0200-000001000000}">
          <x14:formula1>
            <xm:f>Codes!$A$35:$A$37</xm:f>
          </x14:formula1>
          <xm:sqref>H169:I172 H174:I175</xm:sqref>
        </x14:dataValidation>
        <x14:dataValidation type="list" allowBlank="1" showInputMessage="1" showErrorMessage="1" xr:uid="{00000000-0002-0000-0200-000002000000}">
          <x14:formula1>
            <xm:f>Codes!$A$39:$A$40</xm:f>
          </x14:formula1>
          <xm:sqref>I182:I187 I193:I198</xm:sqref>
        </x14:dataValidation>
        <x14:dataValidation type="list" allowBlank="1" showInputMessage="1" showErrorMessage="1" xr:uid="{00000000-0002-0000-0200-000003000000}">
          <x14:formula1>
            <xm:f>Codes!$A$28:$A$33</xm:f>
          </x14:formula1>
          <xm:sqref>E52 E78:I160</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5"/>
  <dimension ref="A1:I197"/>
  <sheetViews>
    <sheetView topLeftCell="B182" zoomScaleNormal="100" zoomScalePageLayoutView="80" workbookViewId="0">
      <selection activeCell="G184" sqref="G184:H184"/>
    </sheetView>
  </sheetViews>
  <sheetFormatPr defaultColWidth="8.85546875" defaultRowHeight="16.899999999999999" customHeight="1"/>
  <cols>
    <col min="1" max="1" width="15.5703125" style="2" hidden="1" customWidth="1"/>
    <col min="2" max="2" width="35.85546875" style="2" customWidth="1"/>
    <col min="3" max="3" width="50.5703125" style="2" customWidth="1"/>
    <col min="4" max="4" width="9.28515625" style="2" customWidth="1"/>
    <col min="5" max="9" width="8.28515625" style="2" customWidth="1"/>
    <col min="10" max="16384" width="8.85546875" style="2"/>
  </cols>
  <sheetData>
    <row r="1" spans="2:9" ht="16.899999999999999" customHeight="1">
      <c r="C1" s="1"/>
    </row>
    <row r="2" spans="2:9" ht="16.899999999999999" customHeight="1">
      <c r="B2" s="1"/>
    </row>
    <row r="3" spans="2:9" ht="16.899999999999999" customHeight="1">
      <c r="B3" s="1"/>
    </row>
    <row r="4" spans="2:9" ht="16.899999999999999" customHeight="1">
      <c r="G4" s="165" t="s">
        <v>28</v>
      </c>
      <c r="H4" s="165"/>
      <c r="I4" s="165"/>
    </row>
    <row r="5" spans="2:9" ht="16.899999999999999" customHeight="1">
      <c r="B5" s="4" t="s">
        <v>0</v>
      </c>
      <c r="C5" s="4"/>
      <c r="D5" s="21"/>
      <c r="E5" s="166" t="s">
        <v>29</v>
      </c>
      <c r="F5" s="166"/>
      <c r="G5" s="31" t="s">
        <v>30</v>
      </c>
      <c r="H5" s="30" t="s">
        <v>31</v>
      </c>
      <c r="I5" s="29" t="s">
        <v>32</v>
      </c>
    </row>
    <row r="6" spans="2:9" ht="16.899999999999999" customHeight="1">
      <c r="B6" s="3" t="s">
        <v>1</v>
      </c>
      <c r="C6" s="22">
        <f>Persoonsgegevens!F3</f>
        <v>0</v>
      </c>
      <c r="D6" s="21"/>
      <c r="E6" s="167"/>
      <c r="F6" s="168"/>
      <c r="G6" s="76"/>
      <c r="H6" s="77"/>
      <c r="I6" s="77"/>
    </row>
    <row r="7" spans="2:9" ht="16.899999999999999" customHeight="1">
      <c r="B7" s="3" t="s">
        <v>33</v>
      </c>
      <c r="C7" s="23">
        <f>Persoonsgegevens!D12</f>
        <v>0</v>
      </c>
      <c r="D7" s="21"/>
      <c r="E7" s="167"/>
      <c r="F7" s="168"/>
      <c r="G7" s="76"/>
      <c r="H7" s="77"/>
      <c r="I7" s="77"/>
    </row>
    <row r="8" spans="2:9" ht="16.899999999999999" customHeight="1">
      <c r="B8" s="3" t="s">
        <v>34</v>
      </c>
      <c r="C8" s="24">
        <f>Persoonsgegevens!D15</f>
        <v>0</v>
      </c>
      <c r="D8" s="21"/>
      <c r="E8" s="167"/>
      <c r="F8" s="168"/>
      <c r="G8" s="76"/>
      <c r="H8" s="77"/>
      <c r="I8" s="77"/>
    </row>
    <row r="9" spans="2:9" ht="16.899999999999999" customHeight="1">
      <c r="D9" s="5"/>
      <c r="E9" s="167"/>
      <c r="F9" s="168"/>
      <c r="G9" s="76"/>
      <c r="H9" s="77"/>
      <c r="I9" s="77"/>
    </row>
    <row r="10" spans="2:9" ht="16.899999999999999" customHeight="1">
      <c r="B10" s="12" t="s">
        <v>35</v>
      </c>
    </row>
    <row r="11" spans="2:9" ht="16.899999999999999" customHeight="1">
      <c r="B11" s="1"/>
    </row>
    <row r="12" spans="2:9" ht="16.899999999999999" customHeight="1">
      <c r="B12" s="8" t="s">
        <v>36</v>
      </c>
      <c r="C12" s="7"/>
      <c r="D12" s="7"/>
      <c r="E12" s="7"/>
      <c r="F12" s="7"/>
      <c r="G12" s="7"/>
      <c r="H12" s="7"/>
      <c r="I12" s="7"/>
    </row>
    <row r="13" spans="2:9" ht="43.9" customHeight="1">
      <c r="B13" s="20" t="s">
        <v>37</v>
      </c>
      <c r="C13" s="159">
        <f>'POP 2019'!C13:I13</f>
        <v>0</v>
      </c>
      <c r="D13" s="160"/>
      <c r="E13" s="160"/>
      <c r="F13" s="160"/>
      <c r="G13" s="160"/>
      <c r="H13" s="160"/>
      <c r="I13" s="161"/>
    </row>
    <row r="14" spans="2:9" ht="43.15" customHeight="1">
      <c r="B14" s="20" t="s">
        <v>38</v>
      </c>
      <c r="C14" s="159">
        <f>'POP 2019'!C14:I14</f>
        <v>0</v>
      </c>
      <c r="D14" s="160"/>
      <c r="E14" s="160"/>
      <c r="F14" s="160"/>
      <c r="G14" s="160"/>
      <c r="H14" s="160"/>
      <c r="I14" s="161"/>
    </row>
    <row r="15" spans="2:9" ht="52.15" customHeight="1">
      <c r="B15" s="25" t="s">
        <v>39</v>
      </c>
      <c r="C15" s="159">
        <f>'POP 2019'!C15:I15</f>
        <v>0</v>
      </c>
      <c r="D15" s="160"/>
      <c r="E15" s="160"/>
      <c r="F15" s="160"/>
      <c r="G15" s="160"/>
      <c r="H15" s="160"/>
      <c r="I15" s="161"/>
    </row>
    <row r="16" spans="2:9" ht="16.899999999999999" customHeight="1">
      <c r="B16" s="5"/>
      <c r="C16" s="5"/>
      <c r="D16" s="5"/>
      <c r="E16" s="5"/>
      <c r="F16" s="5"/>
    </row>
    <row r="17" spans="2:9" ht="16.899999999999999" customHeight="1">
      <c r="B17" s="8" t="s">
        <v>40</v>
      </c>
      <c r="C17" s="6"/>
      <c r="D17" s="6"/>
      <c r="E17" s="6"/>
      <c r="F17" s="6"/>
      <c r="G17" s="6"/>
      <c r="H17" s="6"/>
      <c r="I17" s="6"/>
    </row>
    <row r="18" spans="2:9" ht="45" customHeight="1">
      <c r="B18" s="17" t="s">
        <v>41</v>
      </c>
      <c r="C18" s="164">
        <f>'POP 2019'!C18:I18</f>
        <v>0</v>
      </c>
      <c r="D18" s="160"/>
      <c r="E18" s="160"/>
      <c r="F18" s="160"/>
      <c r="G18" s="160"/>
      <c r="H18" s="160"/>
      <c r="I18" s="161"/>
    </row>
    <row r="19" spans="2:9" ht="44.45" customHeight="1">
      <c r="B19" s="17" t="s">
        <v>42</v>
      </c>
      <c r="C19" s="164">
        <f>'POP 2019'!C19:I19</f>
        <v>0</v>
      </c>
      <c r="D19" s="160"/>
      <c r="E19" s="160"/>
      <c r="F19" s="160"/>
      <c r="G19" s="160"/>
      <c r="H19" s="160"/>
      <c r="I19" s="161"/>
    </row>
    <row r="20" spans="2:9" ht="36.6" customHeight="1">
      <c r="B20" s="17" t="s">
        <v>43</v>
      </c>
      <c r="C20" s="164">
        <f>'POP 2019'!C20:I20</f>
        <v>0</v>
      </c>
      <c r="D20" s="160"/>
      <c r="E20" s="160"/>
      <c r="F20" s="160"/>
      <c r="G20" s="160"/>
      <c r="H20" s="160"/>
      <c r="I20" s="161"/>
    </row>
    <row r="21" spans="2:9" ht="38.450000000000003" customHeight="1">
      <c r="B21" s="25" t="s">
        <v>44</v>
      </c>
      <c r="C21" s="164">
        <f>'POP 2019'!C21:I21</f>
        <v>0</v>
      </c>
      <c r="D21" s="160"/>
      <c r="E21" s="160"/>
      <c r="F21" s="160"/>
      <c r="G21" s="160"/>
      <c r="H21" s="160"/>
      <c r="I21" s="161"/>
    </row>
    <row r="22" spans="2:9" ht="31.15" customHeight="1">
      <c r="B22" s="55" t="s">
        <v>45</v>
      </c>
      <c r="C22" s="164">
        <f>'POP 2019'!C22:I22</f>
        <v>0</v>
      </c>
      <c r="D22" s="160"/>
      <c r="E22" s="160"/>
      <c r="F22" s="160"/>
      <c r="G22" s="160"/>
      <c r="H22" s="160"/>
      <c r="I22" s="161"/>
    </row>
    <row r="23" spans="2:9" ht="39.6" customHeight="1">
      <c r="B23" s="17" t="s">
        <v>46</v>
      </c>
      <c r="C23" s="164">
        <f>'POP 2019'!C23:I23</f>
        <v>0</v>
      </c>
      <c r="D23" s="160"/>
      <c r="E23" s="160"/>
      <c r="F23" s="160"/>
      <c r="G23" s="160"/>
      <c r="H23" s="160"/>
      <c r="I23" s="161"/>
    </row>
    <row r="24" spans="2:9" ht="45.6" customHeight="1">
      <c r="B24" s="25" t="s">
        <v>47</v>
      </c>
      <c r="C24" s="164">
        <f>'POP 2019'!C24:I24</f>
        <v>0</v>
      </c>
      <c r="D24" s="160"/>
      <c r="E24" s="160"/>
      <c r="F24" s="160"/>
      <c r="G24" s="160"/>
      <c r="H24" s="160"/>
      <c r="I24" s="161"/>
    </row>
    <row r="25" spans="2:9" ht="80.45" customHeight="1">
      <c r="B25" s="25" t="s">
        <v>48</v>
      </c>
      <c r="C25" s="164">
        <f>'POP 2019'!C25:I25</f>
        <v>0</v>
      </c>
      <c r="D25" s="160"/>
      <c r="E25" s="160"/>
      <c r="F25" s="160"/>
      <c r="G25" s="160"/>
      <c r="H25" s="160"/>
      <c r="I25" s="161"/>
    </row>
    <row r="26" spans="2:9" ht="105.6" customHeight="1">
      <c r="B26" s="25" t="s">
        <v>49</v>
      </c>
      <c r="C26" s="164">
        <f>'POP 2019'!C26:I26</f>
        <v>0</v>
      </c>
      <c r="D26" s="160"/>
      <c r="E26" s="160"/>
      <c r="F26" s="160"/>
      <c r="G26" s="160"/>
      <c r="H26" s="160"/>
      <c r="I26" s="161"/>
    </row>
    <row r="28" spans="2:9" ht="16.899999999999999" customHeight="1">
      <c r="B28" s="8" t="s">
        <v>50</v>
      </c>
      <c r="C28" s="8"/>
      <c r="D28" s="8"/>
      <c r="E28" s="8"/>
      <c r="F28" s="8"/>
      <c r="G28" s="8"/>
      <c r="H28" s="8"/>
      <c r="I28" s="8"/>
    </row>
    <row r="29" spans="2:9" ht="60" customHeight="1">
      <c r="B29" s="17" t="s">
        <v>51</v>
      </c>
      <c r="C29" s="159">
        <f>'POP 2019'!C29:I29</f>
        <v>0</v>
      </c>
      <c r="D29" s="160"/>
      <c r="E29" s="160"/>
      <c r="F29" s="160"/>
      <c r="G29" s="160"/>
      <c r="H29" s="160"/>
      <c r="I29" s="161"/>
    </row>
    <row r="30" spans="2:9" ht="40.9" customHeight="1">
      <c r="B30" s="25" t="s">
        <v>52</v>
      </c>
      <c r="C30" s="159">
        <f>'POP 2019'!C30:I30</f>
        <v>0</v>
      </c>
      <c r="D30" s="160"/>
      <c r="E30" s="160"/>
      <c r="F30" s="160"/>
      <c r="G30" s="160"/>
      <c r="H30" s="160"/>
      <c r="I30" s="161"/>
    </row>
    <row r="31" spans="2:9" ht="16.899999999999999" customHeight="1">
      <c r="B31" s="10"/>
      <c r="C31" s="10"/>
      <c r="D31" s="10"/>
      <c r="E31" s="10"/>
      <c r="F31" s="10"/>
      <c r="G31" s="5"/>
      <c r="H31" s="11"/>
      <c r="I31" s="11"/>
    </row>
    <row r="32" spans="2:9" ht="16.899999999999999" customHeight="1">
      <c r="B32" s="8" t="s">
        <v>53</v>
      </c>
      <c r="C32" s="8"/>
      <c r="D32" s="8"/>
      <c r="E32" s="8"/>
      <c r="F32" s="8"/>
      <c r="G32" s="8"/>
      <c r="H32" s="8"/>
      <c r="I32" s="8"/>
    </row>
    <row r="33" spans="2:9" ht="40.9" customHeight="1">
      <c r="B33" s="26" t="s">
        <v>54</v>
      </c>
      <c r="C33" s="159">
        <f>'POP 2019'!C33:I33</f>
        <v>0</v>
      </c>
      <c r="D33" s="160"/>
      <c r="E33" s="160"/>
      <c r="F33" s="160"/>
      <c r="G33" s="160"/>
      <c r="H33" s="160"/>
      <c r="I33" s="161"/>
    </row>
    <row r="34" spans="2:9" ht="30.6" customHeight="1">
      <c r="B34" s="27" t="s">
        <v>55</v>
      </c>
      <c r="C34" s="159">
        <f>'POP 2019'!C34:I34</f>
        <v>0</v>
      </c>
      <c r="D34" s="160"/>
      <c r="E34" s="160"/>
      <c r="F34" s="160"/>
      <c r="G34" s="160"/>
      <c r="H34" s="160"/>
      <c r="I34" s="161"/>
    </row>
    <row r="35" spans="2:9" ht="31.9" customHeight="1">
      <c r="B35" s="28" t="s">
        <v>56</v>
      </c>
      <c r="C35" s="159">
        <f>'POP 2019'!C35:I35</f>
        <v>0</v>
      </c>
      <c r="D35" s="160"/>
      <c r="E35" s="160"/>
      <c r="F35" s="160"/>
      <c r="G35" s="160"/>
      <c r="H35" s="160"/>
      <c r="I35" s="161"/>
    </row>
    <row r="36" spans="2:9" ht="16.899999999999999" customHeight="1">
      <c r="B36" s="10"/>
      <c r="C36" s="10"/>
      <c r="D36" s="10"/>
      <c r="E36" s="10"/>
      <c r="F36" s="10"/>
      <c r="G36" s="11"/>
      <c r="H36" s="11"/>
      <c r="I36" s="11"/>
    </row>
    <row r="37" spans="2:9" ht="16.899999999999999" customHeight="1">
      <c r="B37" s="8" t="s">
        <v>57</v>
      </c>
      <c r="C37" s="8"/>
      <c r="D37" s="8"/>
      <c r="E37" s="8"/>
      <c r="F37" s="8"/>
      <c r="G37" s="8"/>
      <c r="H37" s="8"/>
      <c r="I37" s="8"/>
    </row>
    <row r="38" spans="2:9" ht="54" customHeight="1">
      <c r="B38" s="17" t="s">
        <v>58</v>
      </c>
      <c r="C38" s="159">
        <f>'POP 2019'!C38:I38</f>
        <v>0</v>
      </c>
      <c r="D38" s="160"/>
      <c r="E38" s="160"/>
      <c r="F38" s="160"/>
      <c r="G38" s="160"/>
      <c r="H38" s="160"/>
      <c r="I38" s="161"/>
    </row>
    <row r="39" spans="2:9" ht="49.15" customHeight="1">
      <c r="B39" s="17" t="s">
        <v>59</v>
      </c>
      <c r="C39" s="159">
        <f>'POP 2019'!C39:I39</f>
        <v>0</v>
      </c>
      <c r="D39" s="160"/>
      <c r="E39" s="160"/>
      <c r="F39" s="160"/>
      <c r="G39" s="160"/>
      <c r="H39" s="160"/>
      <c r="I39" s="161"/>
    </row>
    <row r="40" spans="2:9" ht="62.45" customHeight="1">
      <c r="B40" s="18" t="s">
        <v>60</v>
      </c>
      <c r="C40" s="159">
        <f>'POP 2019'!C40:I40</f>
        <v>0</v>
      </c>
      <c r="D40" s="160"/>
      <c r="E40" s="160"/>
      <c r="F40" s="160"/>
      <c r="G40" s="160"/>
      <c r="H40" s="160"/>
      <c r="I40" s="161"/>
    </row>
    <row r="42" spans="2:9" ht="16.899999999999999" customHeight="1">
      <c r="B42" s="12" t="s">
        <v>61</v>
      </c>
      <c r="C42" s="1"/>
      <c r="D42" s="1"/>
      <c r="E42" s="1"/>
      <c r="F42" s="1"/>
    </row>
    <row r="43" spans="2:9" ht="52.15" customHeight="1">
      <c r="B43" s="19" t="s">
        <v>62</v>
      </c>
      <c r="C43" s="159">
        <f>'POP 2019'!C43:I43</f>
        <v>0</v>
      </c>
      <c r="D43" s="160"/>
      <c r="E43" s="160"/>
      <c r="F43" s="160"/>
      <c r="G43" s="160"/>
      <c r="H43" s="160"/>
      <c r="I43" s="161"/>
    </row>
    <row r="44" spans="2:9" ht="52.15" customHeight="1">
      <c r="B44" s="19" t="s">
        <v>63</v>
      </c>
      <c r="C44" s="159">
        <f>'POP 2019'!C44:I44</f>
        <v>0</v>
      </c>
      <c r="D44" s="160"/>
      <c r="E44" s="160"/>
      <c r="F44" s="160"/>
      <c r="G44" s="160"/>
      <c r="H44" s="160"/>
      <c r="I44" s="161"/>
    </row>
    <row r="45" spans="2:9" ht="49.15" customHeight="1">
      <c r="B45" s="18" t="s">
        <v>64</v>
      </c>
      <c r="C45" s="159">
        <f>'POP 2019'!C45:I45</f>
        <v>0</v>
      </c>
      <c r="D45" s="160"/>
      <c r="E45" s="160"/>
      <c r="F45" s="160"/>
      <c r="G45" s="160"/>
      <c r="H45" s="160"/>
      <c r="I45" s="161"/>
    </row>
    <row r="46" spans="2:9" ht="50.45" customHeight="1">
      <c r="B46" s="18" t="s">
        <v>65</v>
      </c>
      <c r="C46" s="159">
        <f>'POP 2019'!C46:I46</f>
        <v>0</v>
      </c>
      <c r="D46" s="160"/>
      <c r="E46" s="160"/>
      <c r="F46" s="160"/>
      <c r="G46" s="160"/>
      <c r="H46" s="160"/>
      <c r="I46" s="161"/>
    </row>
    <row r="47" spans="2:9" ht="56.45" customHeight="1">
      <c r="B47" s="18" t="s">
        <v>66</v>
      </c>
      <c r="C47" s="159">
        <f>'POP 2019'!C47:I47</f>
        <v>0</v>
      </c>
      <c r="D47" s="160"/>
      <c r="E47" s="160"/>
      <c r="F47" s="160"/>
      <c r="G47" s="160"/>
      <c r="H47" s="160"/>
      <c r="I47" s="161"/>
    </row>
    <row r="49" spans="2:9" ht="16.899999999999999" customHeight="1">
      <c r="B49" s="12" t="s">
        <v>67</v>
      </c>
      <c r="C49" s="12"/>
      <c r="E49" s="163" t="s">
        <v>68</v>
      </c>
      <c r="F49" s="163"/>
      <c r="G49" s="163"/>
      <c r="H49" s="163"/>
      <c r="I49" s="163"/>
    </row>
    <row r="50" spans="2:9" ht="16.899999999999999" customHeight="1">
      <c r="E50" s="162" t="s">
        <v>69</v>
      </c>
      <c r="F50" s="162"/>
      <c r="G50" s="162"/>
      <c r="H50" s="162"/>
      <c r="I50" s="162"/>
    </row>
    <row r="51" spans="2:9" ht="22.7" customHeight="1">
      <c r="B51" s="15" t="s">
        <v>70</v>
      </c>
      <c r="C51" s="14" t="s">
        <v>71</v>
      </c>
      <c r="D51" s="14"/>
      <c r="E51" s="13">
        <v>2019</v>
      </c>
      <c r="F51" s="13">
        <v>2020</v>
      </c>
      <c r="G51" s="13">
        <v>2021</v>
      </c>
      <c r="H51" s="13">
        <v>2022</v>
      </c>
      <c r="I51" s="16">
        <v>2023</v>
      </c>
    </row>
    <row r="52" spans="2:9" ht="72">
      <c r="B52" s="46" t="s">
        <v>72</v>
      </c>
      <c r="C52" s="47" t="s">
        <v>73</v>
      </c>
      <c r="D52" s="9"/>
      <c r="E52" s="52">
        <f>'POP 2019'!E52</f>
        <v>0</v>
      </c>
      <c r="F52" s="52"/>
      <c r="G52" s="59"/>
      <c r="H52" s="59"/>
      <c r="I52" s="59"/>
    </row>
    <row r="53" spans="2:9" ht="57.6">
      <c r="B53" s="46" t="s">
        <v>74</v>
      </c>
      <c r="C53" s="47" t="s">
        <v>75</v>
      </c>
      <c r="D53" s="9"/>
      <c r="E53" s="52">
        <f>'POP 2019'!E53</f>
        <v>0</v>
      </c>
      <c r="F53" s="52"/>
      <c r="G53" s="59"/>
      <c r="H53" s="59"/>
      <c r="I53" s="59"/>
    </row>
    <row r="54" spans="2:9" ht="57.6">
      <c r="B54" s="46" t="s">
        <v>76</v>
      </c>
      <c r="C54" s="47" t="s">
        <v>77</v>
      </c>
      <c r="D54" s="9"/>
      <c r="E54" s="52">
        <f>'POP 2019'!E54</f>
        <v>0</v>
      </c>
      <c r="F54" s="52"/>
      <c r="G54" s="59"/>
      <c r="H54" s="59"/>
      <c r="I54" s="59"/>
    </row>
    <row r="55" spans="2:9" ht="129.6">
      <c r="B55" s="46" t="s">
        <v>78</v>
      </c>
      <c r="C55" s="47" t="s">
        <v>79</v>
      </c>
      <c r="D55" s="9"/>
      <c r="E55" s="52">
        <f>'POP 2019'!E55</f>
        <v>0</v>
      </c>
      <c r="F55" s="52"/>
      <c r="G55" s="59"/>
      <c r="H55" s="59"/>
      <c r="I55" s="59"/>
    </row>
    <row r="56" spans="2:9" ht="72">
      <c r="B56" s="46" t="s">
        <v>80</v>
      </c>
      <c r="C56" s="47" t="s">
        <v>81</v>
      </c>
      <c r="D56" s="9"/>
      <c r="E56" s="52">
        <f>'POP 2019'!E56</f>
        <v>0</v>
      </c>
      <c r="F56" s="52"/>
      <c r="G56" s="59"/>
      <c r="H56" s="59"/>
      <c r="I56" s="59"/>
    </row>
    <row r="57" spans="2:9" ht="86.45">
      <c r="B57" s="46" t="s">
        <v>82</v>
      </c>
      <c r="C57" s="47" t="s">
        <v>83</v>
      </c>
      <c r="D57" s="9"/>
      <c r="E57" s="52">
        <f>'POP 2019'!E57</f>
        <v>0</v>
      </c>
      <c r="F57" s="52"/>
      <c r="G57" s="59"/>
      <c r="H57" s="59"/>
      <c r="I57" s="59"/>
    </row>
    <row r="58" spans="2:9" ht="129.6" customHeight="1">
      <c r="B58" s="46" t="s">
        <v>84</v>
      </c>
      <c r="C58" s="47" t="s">
        <v>85</v>
      </c>
      <c r="D58" s="9"/>
      <c r="E58" s="52">
        <f>'POP 2019'!E58</f>
        <v>0</v>
      </c>
      <c r="F58" s="52"/>
      <c r="G58" s="59"/>
      <c r="H58" s="59"/>
      <c r="I58" s="59"/>
    </row>
    <row r="59" spans="2:9" ht="57.6">
      <c r="B59" s="46" t="s">
        <v>86</v>
      </c>
      <c r="C59" s="47" t="s">
        <v>87</v>
      </c>
      <c r="D59" s="9"/>
      <c r="E59" s="52">
        <f>'POP 2019'!E59</f>
        <v>0</v>
      </c>
      <c r="F59" s="52"/>
      <c r="G59" s="59"/>
      <c r="H59" s="59"/>
      <c r="I59" s="59"/>
    </row>
    <row r="60" spans="2:9" ht="43.15">
      <c r="B60" s="46" t="s">
        <v>88</v>
      </c>
      <c r="C60" s="47" t="s">
        <v>89</v>
      </c>
      <c r="D60" s="9"/>
      <c r="E60" s="52">
        <f>'POP 2019'!E60</f>
        <v>0</v>
      </c>
      <c r="F60" s="52"/>
      <c r="G60" s="59"/>
      <c r="H60" s="59"/>
      <c r="I60" s="59"/>
    </row>
    <row r="61" spans="2:9" ht="20.45" customHeight="1">
      <c r="B61" s="46" t="s">
        <v>90</v>
      </c>
      <c r="C61" s="47"/>
      <c r="D61" s="9"/>
      <c r="E61" s="52">
        <f>'POP 2019'!E61</f>
        <v>0</v>
      </c>
      <c r="F61" s="52"/>
      <c r="G61" s="59"/>
      <c r="H61" s="59"/>
      <c r="I61" s="59"/>
    </row>
    <row r="62" spans="2:9" ht="20.45" customHeight="1">
      <c r="B62" s="32"/>
      <c r="C62" s="33"/>
      <c r="D62" s="11"/>
      <c r="E62" s="11"/>
      <c r="F62" s="11"/>
      <c r="G62" s="11"/>
      <c r="H62" s="11"/>
      <c r="I62" s="11"/>
    </row>
    <row r="63" spans="2:9" ht="17.45" customHeight="1">
      <c r="B63" s="34" t="s">
        <v>91</v>
      </c>
      <c r="C63" s="33"/>
      <c r="D63" s="11"/>
      <c r="E63" s="11"/>
      <c r="F63" s="11"/>
      <c r="G63" s="11"/>
      <c r="H63" s="11"/>
      <c r="I63" s="11"/>
    </row>
    <row r="64" spans="2:9" ht="14.45">
      <c r="B64" s="32"/>
      <c r="C64" s="33"/>
      <c r="D64" s="11"/>
      <c r="E64" s="11"/>
      <c r="F64" s="11"/>
      <c r="G64" s="11"/>
      <c r="H64" s="11"/>
      <c r="I64" s="11"/>
    </row>
    <row r="65" spans="1:9" ht="14.45">
      <c r="B65" s="32"/>
      <c r="C65" s="33"/>
      <c r="D65" s="11"/>
      <c r="E65" s="11"/>
      <c r="F65" s="11"/>
      <c r="G65" s="11"/>
      <c r="H65" s="11"/>
      <c r="I65" s="11"/>
    </row>
    <row r="66" spans="1:9" ht="14.45">
      <c r="B66" s="32"/>
      <c r="C66" s="33"/>
      <c r="D66" s="11"/>
      <c r="E66" s="11"/>
      <c r="F66" s="11"/>
      <c r="G66" s="11"/>
      <c r="H66" s="11"/>
      <c r="I66" s="11"/>
    </row>
    <row r="67" spans="1:9" ht="14.45">
      <c r="B67" s="32"/>
      <c r="C67" s="33"/>
      <c r="D67" s="11"/>
      <c r="E67" s="11"/>
      <c r="F67" s="11"/>
      <c r="G67" s="11"/>
      <c r="H67" s="11"/>
      <c r="I67" s="11"/>
    </row>
    <row r="68" spans="1:9" ht="14.45">
      <c r="B68" s="32"/>
      <c r="C68" s="33"/>
      <c r="D68" s="11"/>
      <c r="E68" s="11"/>
      <c r="F68" s="11"/>
      <c r="G68" s="11"/>
      <c r="H68" s="11"/>
      <c r="I68" s="11"/>
    </row>
    <row r="69" spans="1:9" ht="14.45">
      <c r="B69" s="32"/>
      <c r="C69" s="33"/>
      <c r="D69" s="11"/>
      <c r="E69" s="11"/>
      <c r="F69" s="11"/>
      <c r="G69" s="11"/>
      <c r="H69" s="11"/>
      <c r="I69" s="11"/>
    </row>
    <row r="70" spans="1:9" ht="14.45">
      <c r="B70" s="32"/>
      <c r="C70" s="33"/>
      <c r="D70" s="11"/>
      <c r="E70" s="11"/>
      <c r="F70" s="11"/>
      <c r="G70" s="11"/>
      <c r="H70" s="11"/>
      <c r="I70" s="11"/>
    </row>
    <row r="71" spans="1:9" ht="14.45">
      <c r="B71" s="32"/>
      <c r="C71" s="33"/>
      <c r="D71" s="11"/>
      <c r="E71" s="11"/>
      <c r="F71" s="11"/>
      <c r="G71" s="11"/>
      <c r="H71" s="11"/>
      <c r="I71" s="11"/>
    </row>
    <row r="72" spans="1:9" ht="14.45">
      <c r="B72" s="32"/>
      <c r="C72" s="33"/>
      <c r="D72" s="11"/>
      <c r="E72" s="11"/>
      <c r="F72" s="11"/>
      <c r="G72" s="11"/>
      <c r="H72" s="11"/>
      <c r="I72" s="11"/>
    </row>
    <row r="73" spans="1:9" ht="14.45">
      <c r="B73" s="32"/>
      <c r="C73" s="33"/>
      <c r="D73" s="11"/>
      <c r="E73" s="11"/>
      <c r="F73" s="11"/>
      <c r="G73" s="11"/>
      <c r="H73" s="11"/>
      <c r="I73" s="11"/>
    </row>
    <row r="74" spans="1:9" ht="14.45">
      <c r="B74" s="32"/>
      <c r="C74" s="33"/>
      <c r="D74" s="11"/>
      <c r="E74" s="11"/>
      <c r="F74" s="11"/>
      <c r="G74" s="11"/>
      <c r="H74" s="11"/>
      <c r="I74" s="11"/>
    </row>
    <row r="75" spans="1:9" ht="14.45">
      <c r="B75" s="37"/>
      <c r="C75" s="37"/>
      <c r="E75" s="163" t="s">
        <v>68</v>
      </c>
      <c r="F75" s="163"/>
      <c r="G75" s="163"/>
      <c r="H75" s="163"/>
      <c r="I75" s="163"/>
    </row>
    <row r="76" spans="1:9" ht="16.899999999999999" customHeight="1">
      <c r="E76" s="162" t="s">
        <v>69</v>
      </c>
      <c r="F76" s="162"/>
      <c r="G76" s="162"/>
      <c r="H76" s="162"/>
      <c r="I76" s="162"/>
    </row>
    <row r="77" spans="1:9" ht="16.899999999999999" customHeight="1">
      <c r="A77" s="42" t="s">
        <v>92</v>
      </c>
      <c r="B77" s="38" t="s">
        <v>91</v>
      </c>
      <c r="C77" s="38" t="s">
        <v>71</v>
      </c>
      <c r="D77" s="41" t="s">
        <v>93</v>
      </c>
      <c r="E77" s="39" t="s">
        <v>94</v>
      </c>
      <c r="F77" s="39" t="s">
        <v>95</v>
      </c>
      <c r="G77" s="39" t="s">
        <v>96</v>
      </c>
      <c r="H77" s="39" t="s">
        <v>97</v>
      </c>
      <c r="I77" s="40" t="s">
        <v>98</v>
      </c>
    </row>
    <row r="78" spans="1:9" ht="28.9" hidden="1">
      <c r="A78" s="82" t="s">
        <v>99</v>
      </c>
      <c r="B78" s="67" t="s">
        <v>100</v>
      </c>
      <c r="C78" s="80" t="s">
        <v>101</v>
      </c>
      <c r="D78" s="36"/>
      <c r="E78" s="53">
        <f>Tabel4[[#This Row],[20192]]</f>
        <v>0</v>
      </c>
      <c r="F78" s="53"/>
      <c r="G78" s="56"/>
      <c r="H78" s="56"/>
      <c r="I78" s="56"/>
    </row>
    <row r="79" spans="1:9" ht="43.15" hidden="1">
      <c r="A79" s="82" t="s">
        <v>99</v>
      </c>
      <c r="B79" s="67" t="s">
        <v>102</v>
      </c>
      <c r="C79" s="80" t="s">
        <v>103</v>
      </c>
      <c r="D79" s="36"/>
      <c r="E79" s="53">
        <f>Tabel4[[#This Row],[20192]]</f>
        <v>0</v>
      </c>
      <c r="F79" s="53"/>
      <c r="G79" s="56"/>
      <c r="H79" s="56"/>
      <c r="I79" s="56"/>
    </row>
    <row r="80" spans="1:9" ht="28.9" hidden="1">
      <c r="A80" s="82" t="s">
        <v>99</v>
      </c>
      <c r="B80" s="67" t="s">
        <v>104</v>
      </c>
      <c r="C80" s="80" t="s">
        <v>105</v>
      </c>
      <c r="D80" s="36"/>
      <c r="E80" s="53">
        <f>Tabel4[[#This Row],[20192]]</f>
        <v>0</v>
      </c>
      <c r="F80" s="53"/>
      <c r="G80" s="56"/>
      <c r="H80" s="56"/>
      <c r="I80" s="56"/>
    </row>
    <row r="81" spans="1:9" ht="14.45" hidden="1">
      <c r="A81" s="82" t="s">
        <v>99</v>
      </c>
      <c r="B81" s="67" t="s">
        <v>106</v>
      </c>
      <c r="C81" s="80" t="s">
        <v>107</v>
      </c>
      <c r="D81" s="36"/>
      <c r="E81" s="53">
        <f>Tabel4[[#This Row],[20192]]</f>
        <v>0</v>
      </c>
      <c r="F81" s="53"/>
      <c r="G81" s="56"/>
      <c r="H81" s="56"/>
      <c r="I81" s="56"/>
    </row>
    <row r="82" spans="1:9" ht="57.6" hidden="1">
      <c r="A82" s="82" t="s">
        <v>99</v>
      </c>
      <c r="B82" s="67" t="s">
        <v>108</v>
      </c>
      <c r="C82" s="80" t="s">
        <v>109</v>
      </c>
      <c r="D82" s="36"/>
      <c r="E82" s="53">
        <f>Tabel4[[#This Row],[20192]]</f>
        <v>0</v>
      </c>
      <c r="F82" s="53"/>
      <c r="G82" s="56"/>
      <c r="H82" s="56"/>
      <c r="I82" s="56"/>
    </row>
    <row r="83" spans="1:9" ht="28.9" hidden="1">
      <c r="A83" s="82" t="s">
        <v>99</v>
      </c>
      <c r="B83" s="67" t="s">
        <v>110</v>
      </c>
      <c r="C83" s="80" t="s">
        <v>111</v>
      </c>
      <c r="D83" s="36"/>
      <c r="E83" s="53">
        <f>Tabel4[[#This Row],[20192]]</f>
        <v>0</v>
      </c>
      <c r="F83" s="53"/>
      <c r="G83" s="56"/>
      <c r="H83" s="56"/>
      <c r="I83" s="56"/>
    </row>
    <row r="84" spans="1:9" ht="28.9" hidden="1">
      <c r="A84" s="82" t="s">
        <v>99</v>
      </c>
      <c r="B84" s="67" t="s">
        <v>112</v>
      </c>
      <c r="C84" s="80" t="s">
        <v>113</v>
      </c>
      <c r="D84" s="36"/>
      <c r="E84" s="53">
        <f>Tabel4[[#This Row],[20192]]</f>
        <v>0</v>
      </c>
      <c r="F84" s="53"/>
      <c r="G84" s="56"/>
      <c r="H84" s="56"/>
      <c r="I84" s="56"/>
    </row>
    <row r="85" spans="1:9" ht="57.6" hidden="1">
      <c r="A85" s="82" t="s">
        <v>99</v>
      </c>
      <c r="B85" s="67" t="s">
        <v>114</v>
      </c>
      <c r="C85" s="80" t="s">
        <v>115</v>
      </c>
      <c r="D85" s="36"/>
      <c r="E85" s="53">
        <f>Tabel4[[#This Row],[20192]]</f>
        <v>0</v>
      </c>
      <c r="F85" s="53"/>
      <c r="G85" s="56"/>
      <c r="H85" s="56"/>
      <c r="I85" s="56"/>
    </row>
    <row r="86" spans="1:9" ht="28.9" hidden="1">
      <c r="A86" s="82" t="s">
        <v>99</v>
      </c>
      <c r="B86" s="67" t="s">
        <v>116</v>
      </c>
      <c r="C86" s="81" t="s">
        <v>117</v>
      </c>
      <c r="D86" s="36"/>
      <c r="E86" s="53">
        <f>Tabel4[[#This Row],[20192]]</f>
        <v>0</v>
      </c>
      <c r="F86" s="53"/>
      <c r="G86" s="56"/>
      <c r="H86" s="56"/>
      <c r="I86" s="56"/>
    </row>
    <row r="87" spans="1:9" ht="14.45" hidden="1">
      <c r="A87" s="82" t="s">
        <v>99</v>
      </c>
      <c r="B87" s="67" t="s">
        <v>118</v>
      </c>
      <c r="C87" s="81" t="s">
        <v>119</v>
      </c>
      <c r="D87" s="36"/>
      <c r="E87" s="53">
        <f>Tabel4[[#This Row],[20192]]</f>
        <v>0</v>
      </c>
      <c r="F87" s="53"/>
      <c r="G87" s="56"/>
      <c r="H87" s="56"/>
      <c r="I87" s="56"/>
    </row>
    <row r="88" spans="1:9" ht="86.45" hidden="1">
      <c r="A88" s="82" t="s">
        <v>99</v>
      </c>
      <c r="B88" s="67" t="s">
        <v>120</v>
      </c>
      <c r="C88" s="80" t="s">
        <v>121</v>
      </c>
      <c r="D88" s="36"/>
      <c r="E88" s="53">
        <f>Tabel4[[#This Row],[20192]]</f>
        <v>0</v>
      </c>
      <c r="F88" s="53"/>
      <c r="G88" s="56"/>
      <c r="H88" s="56"/>
      <c r="I88" s="56"/>
    </row>
    <row r="89" spans="1:9" ht="57.6" hidden="1">
      <c r="A89" s="82" t="s">
        <v>99</v>
      </c>
      <c r="B89" s="67" t="s">
        <v>122</v>
      </c>
      <c r="C89" s="80" t="s">
        <v>123</v>
      </c>
      <c r="D89" s="36"/>
      <c r="E89" s="53">
        <f>Tabel4[[#This Row],[20192]]</f>
        <v>0</v>
      </c>
      <c r="F89" s="53"/>
      <c r="G89" s="56"/>
      <c r="H89" s="56"/>
      <c r="I89" s="56"/>
    </row>
    <row r="90" spans="1:9" ht="28.9" hidden="1">
      <c r="A90" s="82" t="s">
        <v>99</v>
      </c>
      <c r="B90" s="67" t="s">
        <v>124</v>
      </c>
      <c r="C90" s="80" t="s">
        <v>125</v>
      </c>
      <c r="D90" s="36"/>
      <c r="E90" s="53">
        <f>Tabel4[[#This Row],[20192]]</f>
        <v>0</v>
      </c>
      <c r="F90" s="53"/>
      <c r="G90" s="56"/>
      <c r="H90" s="56"/>
      <c r="I90" s="56"/>
    </row>
    <row r="91" spans="1:9" ht="57.6" hidden="1">
      <c r="A91" s="82" t="s">
        <v>126</v>
      </c>
      <c r="B91" s="67" t="s">
        <v>127</v>
      </c>
      <c r="C91" s="80" t="s">
        <v>128</v>
      </c>
      <c r="D91" s="36"/>
      <c r="E91" s="53">
        <f>Tabel4[[#This Row],[20192]]</f>
        <v>0</v>
      </c>
      <c r="F91" s="53"/>
      <c r="G91" s="56"/>
      <c r="H91" s="56"/>
      <c r="I91" s="56"/>
    </row>
    <row r="92" spans="1:9" ht="28.9" hidden="1">
      <c r="A92" s="82" t="s">
        <v>126</v>
      </c>
      <c r="B92" s="67" t="s">
        <v>129</v>
      </c>
      <c r="C92" s="80" t="s">
        <v>130</v>
      </c>
      <c r="D92" s="36"/>
      <c r="E92" s="53">
        <f>Tabel4[[#This Row],[20192]]</f>
        <v>0</v>
      </c>
      <c r="F92" s="53"/>
      <c r="G92" s="56"/>
      <c r="H92" s="56"/>
      <c r="I92" s="56"/>
    </row>
    <row r="93" spans="1:9" ht="72" hidden="1">
      <c r="A93" s="82" t="s">
        <v>126</v>
      </c>
      <c r="B93" s="67" t="s">
        <v>131</v>
      </c>
      <c r="C93" s="80" t="s">
        <v>132</v>
      </c>
      <c r="D93" s="36"/>
      <c r="E93" s="53">
        <f>Tabel4[[#This Row],[20192]]</f>
        <v>0</v>
      </c>
      <c r="F93" s="53"/>
      <c r="G93" s="56"/>
      <c r="H93" s="56"/>
      <c r="I93" s="56"/>
    </row>
    <row r="94" spans="1:9" ht="14.45" hidden="1">
      <c r="A94" s="82" t="s">
        <v>126</v>
      </c>
      <c r="B94" s="67" t="s">
        <v>133</v>
      </c>
      <c r="C94" s="80" t="s">
        <v>134</v>
      </c>
      <c r="D94" s="36"/>
      <c r="E94" s="53">
        <f>Tabel4[[#This Row],[20192]]</f>
        <v>0</v>
      </c>
      <c r="F94" s="53"/>
      <c r="G94" s="56"/>
      <c r="H94" s="56"/>
      <c r="I94" s="56"/>
    </row>
    <row r="95" spans="1:9" ht="100.9" hidden="1">
      <c r="A95" s="82" t="s">
        <v>126</v>
      </c>
      <c r="B95" s="67" t="s">
        <v>135</v>
      </c>
      <c r="C95" s="80" t="s">
        <v>136</v>
      </c>
      <c r="D95" s="36"/>
      <c r="E95" s="53">
        <f>Tabel4[[#This Row],[20192]]</f>
        <v>0</v>
      </c>
      <c r="F95" s="53"/>
      <c r="G95" s="56"/>
      <c r="H95" s="56"/>
      <c r="I95" s="56"/>
    </row>
    <row r="96" spans="1:9" ht="72" hidden="1">
      <c r="A96" s="82" t="s">
        <v>126</v>
      </c>
      <c r="B96" s="67" t="s">
        <v>137</v>
      </c>
      <c r="C96" s="80" t="s">
        <v>138</v>
      </c>
      <c r="D96" s="36"/>
      <c r="E96" s="53">
        <f>Tabel4[[#This Row],[20192]]</f>
        <v>0</v>
      </c>
      <c r="F96" s="53"/>
      <c r="G96" s="56"/>
      <c r="H96" s="56"/>
      <c r="I96" s="56"/>
    </row>
    <row r="97" spans="1:9" ht="43.15" hidden="1">
      <c r="A97" s="82" t="s">
        <v>126</v>
      </c>
      <c r="B97" s="67" t="s">
        <v>139</v>
      </c>
      <c r="C97" s="80" t="s">
        <v>140</v>
      </c>
      <c r="D97" s="36"/>
      <c r="E97" s="53">
        <f>Tabel4[[#This Row],[20192]]</f>
        <v>0</v>
      </c>
      <c r="F97" s="53"/>
      <c r="G97" s="56"/>
      <c r="H97" s="56"/>
      <c r="I97" s="56"/>
    </row>
    <row r="98" spans="1:9" ht="43.15">
      <c r="A98" s="82" t="s">
        <v>141</v>
      </c>
      <c r="B98" s="67" t="s">
        <v>127</v>
      </c>
      <c r="C98" s="80" t="s">
        <v>142</v>
      </c>
      <c r="D98" s="36"/>
      <c r="E98" s="53">
        <f>Tabel4[[#This Row],[20192]]</f>
        <v>0</v>
      </c>
      <c r="F98" s="53"/>
      <c r="G98" s="56"/>
      <c r="H98" s="56"/>
      <c r="I98" s="56"/>
    </row>
    <row r="99" spans="1:9" ht="28.9">
      <c r="A99" s="82" t="s">
        <v>141</v>
      </c>
      <c r="B99" s="67" t="s">
        <v>143</v>
      </c>
      <c r="C99" s="80" t="s">
        <v>144</v>
      </c>
      <c r="D99" s="36"/>
      <c r="E99" s="53">
        <f>Tabel4[[#This Row],[20192]]</f>
        <v>0</v>
      </c>
      <c r="F99" s="53"/>
      <c r="G99" s="56"/>
      <c r="H99" s="56"/>
      <c r="I99" s="56"/>
    </row>
    <row r="100" spans="1:9" ht="57.6">
      <c r="A100" s="82" t="s">
        <v>141</v>
      </c>
      <c r="B100" s="67" t="s">
        <v>145</v>
      </c>
      <c r="C100" s="80" t="s">
        <v>146</v>
      </c>
      <c r="D100" s="36"/>
      <c r="E100" s="53">
        <f>Tabel4[[#This Row],[20192]]</f>
        <v>0</v>
      </c>
      <c r="F100" s="53"/>
      <c r="G100" s="56"/>
      <c r="H100" s="56"/>
      <c r="I100" s="56"/>
    </row>
    <row r="101" spans="1:9" ht="43.15">
      <c r="A101" s="82" t="s">
        <v>141</v>
      </c>
      <c r="B101" s="67" t="s">
        <v>133</v>
      </c>
      <c r="C101" s="80" t="s">
        <v>147</v>
      </c>
      <c r="D101" s="36"/>
      <c r="E101" s="53">
        <f>Tabel4[[#This Row],[20192]]</f>
        <v>0</v>
      </c>
      <c r="F101" s="53"/>
      <c r="G101" s="56"/>
      <c r="H101" s="56"/>
      <c r="I101" s="56"/>
    </row>
    <row r="102" spans="1:9" ht="28.9">
      <c r="A102" s="82" t="s">
        <v>141</v>
      </c>
      <c r="B102" s="67" t="s">
        <v>148</v>
      </c>
      <c r="C102" s="80" t="s">
        <v>149</v>
      </c>
      <c r="D102" s="36"/>
      <c r="E102" s="53">
        <f>Tabel4[[#This Row],[20192]]</f>
        <v>0</v>
      </c>
      <c r="F102" s="53"/>
      <c r="G102" s="56"/>
      <c r="H102" s="56"/>
      <c r="I102" s="56"/>
    </row>
    <row r="103" spans="1:9" ht="43.15">
      <c r="A103" s="82" t="s">
        <v>141</v>
      </c>
      <c r="B103" s="67" t="s">
        <v>150</v>
      </c>
      <c r="C103" s="81" t="s">
        <v>151</v>
      </c>
      <c r="D103" s="36"/>
      <c r="E103" s="53" t="str">
        <f>Tabel4[[#This Row],[20192]]</f>
        <v>nvt</v>
      </c>
      <c r="F103" s="53"/>
      <c r="G103" s="56"/>
      <c r="H103" s="56"/>
      <c r="I103" s="56"/>
    </row>
    <row r="104" spans="1:9" ht="100.9">
      <c r="A104" s="82" t="s">
        <v>141</v>
      </c>
      <c r="B104" s="67" t="s">
        <v>153</v>
      </c>
      <c r="C104" s="80" t="s">
        <v>154</v>
      </c>
      <c r="D104" s="36"/>
      <c r="E104" s="53" t="str">
        <f>Tabel4[[#This Row],[20192]]</f>
        <v>nvt</v>
      </c>
      <c r="F104" s="53"/>
      <c r="G104" s="56"/>
      <c r="H104" s="56"/>
      <c r="I104" s="56"/>
    </row>
    <row r="105" spans="1:9" ht="28.9">
      <c r="A105" s="82" t="s">
        <v>141</v>
      </c>
      <c r="B105" s="67" t="s">
        <v>155</v>
      </c>
      <c r="C105" s="80" t="s">
        <v>156</v>
      </c>
      <c r="D105" s="36"/>
      <c r="E105" s="53" t="str">
        <f>Tabel4[[#This Row],[20192]]</f>
        <v>nvt</v>
      </c>
      <c r="F105" s="53"/>
      <c r="G105" s="56"/>
      <c r="H105" s="56"/>
      <c r="I105" s="56"/>
    </row>
    <row r="106" spans="1:9" ht="14.45" hidden="1">
      <c r="A106" s="82" t="s">
        <v>157</v>
      </c>
      <c r="B106" s="67" t="s">
        <v>158</v>
      </c>
      <c r="C106" s="80" t="s">
        <v>159</v>
      </c>
      <c r="D106" s="36"/>
      <c r="E106" s="53">
        <f>Tabel4[[#This Row],[20192]]</f>
        <v>0</v>
      </c>
      <c r="F106" s="53"/>
      <c r="G106" s="56"/>
      <c r="H106" s="56"/>
      <c r="I106" s="56"/>
    </row>
    <row r="107" spans="1:9" ht="28.9" hidden="1">
      <c r="A107" s="82" t="s">
        <v>157</v>
      </c>
      <c r="B107" s="67" t="s">
        <v>160</v>
      </c>
      <c r="C107" s="80" t="s">
        <v>161</v>
      </c>
      <c r="D107" s="36"/>
      <c r="E107" s="53">
        <f>Tabel4[[#This Row],[20192]]</f>
        <v>0</v>
      </c>
      <c r="F107" s="53"/>
      <c r="G107" s="56"/>
      <c r="H107" s="56"/>
      <c r="I107" s="56"/>
    </row>
    <row r="108" spans="1:9" ht="28.9" hidden="1">
      <c r="A108" s="82" t="s">
        <v>157</v>
      </c>
      <c r="B108" s="67" t="s">
        <v>162</v>
      </c>
      <c r="C108" s="80" t="s">
        <v>163</v>
      </c>
      <c r="D108" s="36"/>
      <c r="E108" s="53">
        <f>Tabel4[[#This Row],[20192]]</f>
        <v>0</v>
      </c>
      <c r="F108" s="53"/>
      <c r="G108" s="56"/>
      <c r="H108" s="56"/>
      <c r="I108" s="56"/>
    </row>
    <row r="109" spans="1:9" ht="14.45" hidden="1">
      <c r="A109" s="82" t="s">
        <v>157</v>
      </c>
      <c r="B109" s="67" t="s">
        <v>164</v>
      </c>
      <c r="C109" s="80" t="s">
        <v>165</v>
      </c>
      <c r="D109" s="36"/>
      <c r="E109" s="53">
        <f>Tabel4[[#This Row],[20192]]</f>
        <v>0</v>
      </c>
      <c r="F109" s="53"/>
      <c r="G109" s="56"/>
      <c r="H109" s="56"/>
      <c r="I109" s="56"/>
    </row>
    <row r="110" spans="1:9" ht="57.6" hidden="1">
      <c r="A110" s="82" t="s">
        <v>157</v>
      </c>
      <c r="B110" s="67" t="s">
        <v>166</v>
      </c>
      <c r="C110" s="80" t="s">
        <v>167</v>
      </c>
      <c r="D110" s="36"/>
      <c r="E110" s="53">
        <f>Tabel4[[#This Row],[20192]]</f>
        <v>0</v>
      </c>
      <c r="F110" s="53"/>
      <c r="G110" s="56"/>
      <c r="H110" s="56"/>
      <c r="I110" s="56"/>
    </row>
    <row r="111" spans="1:9" ht="43.15" hidden="1">
      <c r="A111" s="82" t="s">
        <v>157</v>
      </c>
      <c r="B111" s="67" t="s">
        <v>168</v>
      </c>
      <c r="C111" s="80" t="s">
        <v>169</v>
      </c>
      <c r="D111" s="36"/>
      <c r="E111" s="53">
        <f>Tabel4[[#This Row],[20192]]</f>
        <v>0</v>
      </c>
      <c r="F111" s="53"/>
      <c r="G111" s="56"/>
      <c r="H111" s="56"/>
      <c r="I111" s="56"/>
    </row>
    <row r="112" spans="1:9" ht="86.45" hidden="1">
      <c r="A112" s="82" t="s">
        <v>157</v>
      </c>
      <c r="B112" s="67" t="s">
        <v>120</v>
      </c>
      <c r="C112" s="80" t="s">
        <v>121</v>
      </c>
      <c r="D112" s="36"/>
      <c r="E112" s="53">
        <f>Tabel4[[#This Row],[20192]]</f>
        <v>0</v>
      </c>
      <c r="F112" s="53"/>
      <c r="G112" s="56"/>
      <c r="H112" s="56"/>
      <c r="I112" s="56"/>
    </row>
    <row r="113" spans="1:9" ht="57.6" hidden="1">
      <c r="A113" s="82" t="s">
        <v>157</v>
      </c>
      <c r="B113" s="67" t="s">
        <v>122</v>
      </c>
      <c r="C113" s="80" t="s">
        <v>123</v>
      </c>
      <c r="D113" s="36"/>
      <c r="E113" s="53">
        <f>Tabel4[[#This Row],[20192]]</f>
        <v>0</v>
      </c>
      <c r="F113" s="53"/>
      <c r="G113" s="56"/>
      <c r="H113" s="56"/>
      <c r="I113" s="56"/>
    </row>
    <row r="114" spans="1:9" ht="28.9" hidden="1">
      <c r="A114" s="82" t="s">
        <v>157</v>
      </c>
      <c r="B114" s="67" t="s">
        <v>124</v>
      </c>
      <c r="C114" s="80" t="s">
        <v>125</v>
      </c>
      <c r="D114" s="36"/>
      <c r="E114" s="53">
        <f>Tabel4[[#This Row],[20192]]</f>
        <v>0</v>
      </c>
      <c r="F114" s="53"/>
      <c r="G114" s="56"/>
      <c r="H114" s="56"/>
      <c r="I114" s="56"/>
    </row>
    <row r="115" spans="1:9" ht="28.9" hidden="1">
      <c r="A115" s="82" t="s">
        <v>170</v>
      </c>
      <c r="B115" s="67" t="s">
        <v>171</v>
      </c>
      <c r="C115" s="80" t="s">
        <v>172</v>
      </c>
      <c r="D115" s="36"/>
      <c r="E115" s="53">
        <f>Tabel4[[#This Row],[20192]]</f>
        <v>0</v>
      </c>
      <c r="F115" s="53"/>
      <c r="G115" s="56"/>
      <c r="H115" s="56"/>
      <c r="I115" s="56"/>
    </row>
    <row r="116" spans="1:9" ht="43.15" hidden="1">
      <c r="A116" s="82" t="s">
        <v>170</v>
      </c>
      <c r="B116" s="67" t="s">
        <v>168</v>
      </c>
      <c r="C116" s="80" t="s">
        <v>169</v>
      </c>
      <c r="D116" s="36"/>
      <c r="E116" s="53">
        <f>Tabel4[[#This Row],[20192]]</f>
        <v>0</v>
      </c>
      <c r="F116" s="53"/>
      <c r="G116" s="56"/>
      <c r="H116" s="56"/>
      <c r="I116" s="56"/>
    </row>
    <row r="117" spans="1:9" ht="86.45" hidden="1">
      <c r="A117" s="82" t="s">
        <v>170</v>
      </c>
      <c r="B117" s="67" t="s">
        <v>120</v>
      </c>
      <c r="C117" s="80" t="s">
        <v>121</v>
      </c>
      <c r="D117" s="36"/>
      <c r="E117" s="53">
        <f>Tabel4[[#This Row],[20192]]</f>
        <v>0</v>
      </c>
      <c r="F117" s="53"/>
      <c r="G117" s="56"/>
      <c r="H117" s="56"/>
      <c r="I117" s="56"/>
    </row>
    <row r="118" spans="1:9" ht="57.6" hidden="1">
      <c r="A118" s="82" t="s">
        <v>170</v>
      </c>
      <c r="B118" s="67" t="s">
        <v>122</v>
      </c>
      <c r="C118" s="80" t="s">
        <v>123</v>
      </c>
      <c r="D118" s="36"/>
      <c r="E118" s="53">
        <f>Tabel4[[#This Row],[20192]]</f>
        <v>0</v>
      </c>
      <c r="F118" s="53"/>
      <c r="G118" s="56"/>
      <c r="H118" s="56"/>
      <c r="I118" s="56"/>
    </row>
    <row r="119" spans="1:9" ht="28.9" hidden="1">
      <c r="A119" s="82" t="s">
        <v>170</v>
      </c>
      <c r="B119" s="67" t="s">
        <v>124</v>
      </c>
      <c r="C119" s="80" t="s">
        <v>125</v>
      </c>
      <c r="D119" s="36"/>
      <c r="E119" s="53">
        <f>Tabel4[[#This Row],[20192]]</f>
        <v>0</v>
      </c>
      <c r="F119" s="53"/>
      <c r="G119" s="56"/>
      <c r="H119" s="56"/>
      <c r="I119" s="56"/>
    </row>
    <row r="120" spans="1:9" ht="72" hidden="1">
      <c r="A120" s="82" t="s">
        <v>170</v>
      </c>
      <c r="B120" s="67" t="s">
        <v>164</v>
      </c>
      <c r="C120" s="80" t="s">
        <v>173</v>
      </c>
      <c r="D120" s="36"/>
      <c r="E120" s="53">
        <f>Tabel4[[#This Row],[20192]]</f>
        <v>0</v>
      </c>
      <c r="F120" s="53"/>
      <c r="G120" s="56"/>
      <c r="H120" s="56"/>
      <c r="I120" s="56"/>
    </row>
    <row r="121" spans="1:9" ht="14.45" hidden="1">
      <c r="A121" s="82" t="s">
        <v>170</v>
      </c>
      <c r="B121" s="67" t="s">
        <v>174</v>
      </c>
      <c r="C121" s="80" t="s">
        <v>175</v>
      </c>
      <c r="D121" s="36"/>
      <c r="E121" s="53">
        <f>Tabel4[[#This Row],[20192]]</f>
        <v>0</v>
      </c>
      <c r="F121" s="53"/>
      <c r="G121" s="56"/>
      <c r="H121" s="56"/>
      <c r="I121" s="56"/>
    </row>
    <row r="122" spans="1:9" ht="28.9" hidden="1">
      <c r="A122" s="82" t="s">
        <v>170</v>
      </c>
      <c r="B122" s="67" t="s">
        <v>176</v>
      </c>
      <c r="C122" s="80" t="s">
        <v>177</v>
      </c>
      <c r="D122" s="36"/>
      <c r="E122" s="53">
        <f>Tabel4[[#This Row],[20192]]</f>
        <v>0</v>
      </c>
      <c r="F122" s="53"/>
      <c r="G122" s="56"/>
      <c r="H122" s="56"/>
      <c r="I122" s="56"/>
    </row>
    <row r="123" spans="1:9" ht="14.45" hidden="1">
      <c r="A123" s="82" t="s">
        <v>178</v>
      </c>
      <c r="B123" s="67" t="s">
        <v>179</v>
      </c>
      <c r="C123" s="80" t="s">
        <v>180</v>
      </c>
      <c r="D123" s="36"/>
      <c r="E123" s="53">
        <f>Tabel4[[#This Row],[20192]]</f>
        <v>0</v>
      </c>
      <c r="F123" s="53"/>
      <c r="G123" s="56"/>
      <c r="H123" s="56"/>
      <c r="I123" s="56"/>
    </row>
    <row r="124" spans="1:9" ht="57.6" hidden="1">
      <c r="A124" s="82" t="s">
        <v>178</v>
      </c>
      <c r="B124" s="67" t="s">
        <v>181</v>
      </c>
      <c r="C124" s="80" t="s">
        <v>182</v>
      </c>
      <c r="D124" s="36"/>
      <c r="E124" s="53">
        <f>Tabel4[[#This Row],[20192]]</f>
        <v>0</v>
      </c>
      <c r="F124" s="53"/>
      <c r="G124" s="56"/>
      <c r="H124" s="56"/>
      <c r="I124" s="56"/>
    </row>
    <row r="125" spans="1:9" ht="72" hidden="1">
      <c r="A125" s="82" t="s">
        <v>178</v>
      </c>
      <c r="B125" s="67" t="s">
        <v>183</v>
      </c>
      <c r="C125" s="80" t="s">
        <v>184</v>
      </c>
      <c r="D125" s="36"/>
      <c r="E125" s="53">
        <f>Tabel4[[#This Row],[20192]]</f>
        <v>0</v>
      </c>
      <c r="F125" s="53"/>
      <c r="G125" s="56"/>
      <c r="H125" s="56"/>
      <c r="I125" s="56"/>
    </row>
    <row r="126" spans="1:9" ht="72" hidden="1">
      <c r="A126" s="82" t="s">
        <v>178</v>
      </c>
      <c r="B126" s="67" t="s">
        <v>185</v>
      </c>
      <c r="C126" s="80" t="s">
        <v>186</v>
      </c>
      <c r="D126" s="36"/>
      <c r="E126" s="53">
        <f>Tabel4[[#This Row],[20192]]</f>
        <v>0</v>
      </c>
      <c r="F126" s="53"/>
      <c r="G126" s="56"/>
      <c r="H126" s="56"/>
      <c r="I126" s="56"/>
    </row>
    <row r="127" spans="1:9" ht="72" hidden="1">
      <c r="A127" s="82" t="s">
        <v>178</v>
      </c>
      <c r="B127" s="67" t="s">
        <v>187</v>
      </c>
      <c r="C127" s="80" t="s">
        <v>188</v>
      </c>
      <c r="D127" s="36"/>
      <c r="E127" s="53">
        <f>Tabel4[[#This Row],[20192]]</f>
        <v>0</v>
      </c>
      <c r="F127" s="53"/>
      <c r="G127" s="56"/>
      <c r="H127" s="56"/>
      <c r="I127" s="56"/>
    </row>
    <row r="128" spans="1:9" ht="28.9" hidden="1">
      <c r="A128" s="82" t="s">
        <v>178</v>
      </c>
      <c r="B128" s="67" t="s">
        <v>189</v>
      </c>
      <c r="C128" s="80" t="s">
        <v>190</v>
      </c>
      <c r="D128" s="36"/>
      <c r="E128" s="53">
        <f>Tabel4[[#This Row],[20192]]</f>
        <v>0</v>
      </c>
      <c r="F128" s="53"/>
      <c r="G128" s="56"/>
      <c r="H128" s="56"/>
      <c r="I128" s="56"/>
    </row>
    <row r="129" spans="1:9" ht="86.45" hidden="1">
      <c r="A129" s="82" t="s">
        <v>178</v>
      </c>
      <c r="B129" s="67" t="s">
        <v>191</v>
      </c>
      <c r="C129" s="80" t="s">
        <v>192</v>
      </c>
      <c r="D129" s="36"/>
      <c r="E129" s="53">
        <f>Tabel4[[#This Row],[20192]]</f>
        <v>0</v>
      </c>
      <c r="F129" s="53"/>
      <c r="G129" s="56"/>
      <c r="H129" s="56"/>
      <c r="I129" s="56"/>
    </row>
    <row r="130" spans="1:9" ht="43.15" hidden="1">
      <c r="A130" s="82" t="s">
        <v>178</v>
      </c>
      <c r="B130" s="67" t="s">
        <v>193</v>
      </c>
      <c r="C130" s="80" t="s">
        <v>194</v>
      </c>
      <c r="D130" s="36"/>
      <c r="E130" s="53">
        <f>Tabel4[[#This Row],[20192]]</f>
        <v>0</v>
      </c>
      <c r="F130" s="53"/>
      <c r="G130" s="56"/>
      <c r="H130" s="56"/>
      <c r="I130" s="56"/>
    </row>
    <row r="131" spans="1:9" ht="86.45" hidden="1">
      <c r="A131" s="82" t="s">
        <v>178</v>
      </c>
      <c r="B131" s="67" t="s">
        <v>120</v>
      </c>
      <c r="C131" s="80" t="s">
        <v>121</v>
      </c>
      <c r="D131" s="36"/>
      <c r="E131" s="53">
        <f>Tabel4[[#This Row],[20192]]</f>
        <v>0</v>
      </c>
      <c r="F131" s="53"/>
      <c r="G131" s="56"/>
      <c r="H131" s="56"/>
      <c r="I131" s="56"/>
    </row>
    <row r="132" spans="1:9" ht="43.15" hidden="1">
      <c r="A132" s="82" t="s">
        <v>178</v>
      </c>
      <c r="B132" s="67" t="s">
        <v>168</v>
      </c>
      <c r="C132" s="80" t="s">
        <v>169</v>
      </c>
      <c r="D132" s="36"/>
      <c r="E132" s="53">
        <f>Tabel4[[#This Row],[20192]]</f>
        <v>0</v>
      </c>
      <c r="F132" s="53"/>
      <c r="G132" s="56"/>
      <c r="H132" s="56"/>
      <c r="I132" s="56"/>
    </row>
    <row r="133" spans="1:9" ht="57.6" hidden="1">
      <c r="A133" s="82" t="s">
        <v>178</v>
      </c>
      <c r="B133" s="67" t="s">
        <v>122</v>
      </c>
      <c r="C133" s="80" t="s">
        <v>123</v>
      </c>
      <c r="D133" s="36"/>
      <c r="E133" s="53">
        <f>Tabel4[[#This Row],[20192]]</f>
        <v>0</v>
      </c>
      <c r="F133" s="53"/>
      <c r="G133" s="56"/>
      <c r="H133" s="56"/>
      <c r="I133" s="56"/>
    </row>
    <row r="134" spans="1:9" ht="28.9" hidden="1">
      <c r="A134" s="82" t="s">
        <v>178</v>
      </c>
      <c r="B134" s="67" t="s">
        <v>124</v>
      </c>
      <c r="C134" s="80" t="s">
        <v>125</v>
      </c>
      <c r="D134" s="36"/>
      <c r="E134" s="53">
        <f>Tabel4[[#This Row],[20192]]</f>
        <v>0</v>
      </c>
      <c r="F134" s="53"/>
      <c r="G134" s="56"/>
      <c r="H134" s="56"/>
      <c r="I134" s="56"/>
    </row>
    <row r="135" spans="1:9" ht="14.45" hidden="1">
      <c r="A135" s="82" t="s">
        <v>178</v>
      </c>
      <c r="B135" s="67" t="s">
        <v>195</v>
      </c>
      <c r="C135" s="80" t="s">
        <v>196</v>
      </c>
      <c r="D135" s="36"/>
      <c r="E135" s="53">
        <f>Tabel4[[#This Row],[20192]]</f>
        <v>0</v>
      </c>
      <c r="F135" s="53"/>
      <c r="G135" s="56"/>
      <c r="H135" s="56"/>
      <c r="I135" s="56"/>
    </row>
    <row r="136" spans="1:9" ht="43.15" hidden="1">
      <c r="A136" s="82" t="s">
        <v>178</v>
      </c>
      <c r="B136" s="67" t="s">
        <v>197</v>
      </c>
      <c r="C136" s="80" t="s">
        <v>198</v>
      </c>
      <c r="D136" s="36"/>
      <c r="E136" s="53">
        <f>Tabel4[[#This Row],[20192]]</f>
        <v>0</v>
      </c>
      <c r="F136" s="53"/>
      <c r="G136" s="56"/>
      <c r="H136" s="56"/>
      <c r="I136" s="56"/>
    </row>
    <row r="137" spans="1:9" ht="43.15" hidden="1">
      <c r="A137" s="82" t="s">
        <v>199</v>
      </c>
      <c r="B137" s="67" t="s">
        <v>197</v>
      </c>
      <c r="C137" s="80" t="s">
        <v>198</v>
      </c>
      <c r="D137" s="36"/>
      <c r="E137" s="53">
        <f>Tabel4[[#This Row],[20192]]</f>
        <v>0</v>
      </c>
      <c r="F137" s="53"/>
      <c r="G137" s="56"/>
      <c r="H137" s="56"/>
      <c r="I137" s="56"/>
    </row>
    <row r="138" spans="1:9" ht="100.9" hidden="1">
      <c r="A138" s="82" t="s">
        <v>199</v>
      </c>
      <c r="B138" s="67" t="s">
        <v>200</v>
      </c>
      <c r="C138" s="80" t="s">
        <v>201</v>
      </c>
      <c r="D138" s="36"/>
      <c r="E138" s="53">
        <f>Tabel4[[#This Row],[20192]]</f>
        <v>0</v>
      </c>
      <c r="F138" s="53"/>
      <c r="G138" s="56"/>
      <c r="H138" s="56"/>
      <c r="I138" s="56"/>
    </row>
    <row r="139" spans="1:9" ht="100.9" hidden="1">
      <c r="A139" s="82" t="s">
        <v>199</v>
      </c>
      <c r="B139" s="67" t="s">
        <v>202</v>
      </c>
      <c r="C139" s="80" t="s">
        <v>203</v>
      </c>
      <c r="D139" s="36"/>
      <c r="E139" s="53">
        <f>Tabel4[[#This Row],[20192]]</f>
        <v>0</v>
      </c>
      <c r="F139" s="53"/>
      <c r="G139" s="56"/>
      <c r="H139" s="56"/>
      <c r="I139" s="56"/>
    </row>
    <row r="140" spans="1:9" ht="57.6" hidden="1">
      <c r="A140" s="82" t="s">
        <v>199</v>
      </c>
      <c r="B140" s="67" t="s">
        <v>204</v>
      </c>
      <c r="C140" s="80" t="s">
        <v>205</v>
      </c>
      <c r="D140" s="36"/>
      <c r="E140" s="53">
        <f>Tabel4[[#This Row],[20192]]</f>
        <v>0</v>
      </c>
      <c r="F140" s="53"/>
      <c r="G140" s="56"/>
      <c r="H140" s="56"/>
      <c r="I140" s="56"/>
    </row>
    <row r="141" spans="1:9" ht="28.9" hidden="1">
      <c r="A141" s="82" t="s">
        <v>199</v>
      </c>
      <c r="B141" s="67" t="s">
        <v>206</v>
      </c>
      <c r="C141" s="80" t="s">
        <v>207</v>
      </c>
      <c r="D141" s="36"/>
      <c r="E141" s="53">
        <f>Tabel4[[#This Row],[20192]]</f>
        <v>0</v>
      </c>
      <c r="F141" s="53"/>
      <c r="G141" s="56"/>
      <c r="H141" s="56"/>
      <c r="I141" s="56"/>
    </row>
    <row r="142" spans="1:9" ht="57.6" hidden="1">
      <c r="A142" s="82" t="s">
        <v>199</v>
      </c>
      <c r="B142" s="67" t="s">
        <v>208</v>
      </c>
      <c r="C142" s="80" t="s">
        <v>209</v>
      </c>
      <c r="D142" s="36"/>
      <c r="E142" s="53">
        <f>Tabel4[[#This Row],[20192]]</f>
        <v>0</v>
      </c>
      <c r="F142" s="53"/>
      <c r="G142" s="56"/>
      <c r="H142" s="56"/>
      <c r="I142" s="56"/>
    </row>
    <row r="143" spans="1:9" ht="43.15" hidden="1">
      <c r="A143" s="82" t="s">
        <v>199</v>
      </c>
      <c r="B143" s="67" t="s">
        <v>210</v>
      </c>
      <c r="C143" s="80" t="s">
        <v>211</v>
      </c>
      <c r="D143" s="36"/>
      <c r="E143" s="53">
        <f>Tabel4[[#This Row],[20192]]</f>
        <v>0</v>
      </c>
      <c r="F143" s="53"/>
      <c r="G143" s="56"/>
      <c r="H143" s="56"/>
      <c r="I143" s="56"/>
    </row>
    <row r="144" spans="1:9" ht="28.9" hidden="1">
      <c r="A144" s="82" t="s">
        <v>199</v>
      </c>
      <c r="B144" s="67" t="s">
        <v>212</v>
      </c>
      <c r="C144" s="80" t="s">
        <v>213</v>
      </c>
      <c r="D144" s="36"/>
      <c r="E144" s="53">
        <f>Tabel4[[#This Row],[20192]]</f>
        <v>0</v>
      </c>
      <c r="F144" s="53"/>
      <c r="G144" s="56"/>
      <c r="H144" s="56"/>
      <c r="I144" s="56"/>
    </row>
    <row r="145" spans="1:9" ht="28.9">
      <c r="A145" s="82" t="s">
        <v>217</v>
      </c>
      <c r="B145" s="121" t="s">
        <v>215</v>
      </c>
      <c r="C145" s="130" t="s">
        <v>263</v>
      </c>
      <c r="D145" s="36"/>
      <c r="E145" s="53">
        <f>Tabel4[[#This Row],[20192]]</f>
        <v>0</v>
      </c>
      <c r="F145" s="53"/>
      <c r="G145" s="56"/>
      <c r="H145" s="56"/>
      <c r="I145" s="56"/>
    </row>
    <row r="146" spans="1:9" ht="57.6">
      <c r="A146" s="82" t="s">
        <v>217</v>
      </c>
      <c r="B146" s="67" t="s">
        <v>218</v>
      </c>
      <c r="C146" s="130" t="s">
        <v>219</v>
      </c>
      <c r="D146" s="36"/>
      <c r="E146" s="53">
        <f>Tabel4[[#This Row],[20192]]</f>
        <v>0</v>
      </c>
      <c r="F146" s="53"/>
      <c r="G146" s="56"/>
      <c r="H146" s="56"/>
      <c r="I146" s="56"/>
    </row>
    <row r="147" spans="1:9" ht="57.6">
      <c r="A147" s="82" t="s">
        <v>217</v>
      </c>
      <c r="B147" s="67" t="s">
        <v>220</v>
      </c>
      <c r="C147" s="130" t="s">
        <v>221</v>
      </c>
      <c r="D147" s="36"/>
      <c r="E147" s="53">
        <f>Tabel4[[#This Row],[20192]]</f>
        <v>0</v>
      </c>
      <c r="F147" s="53"/>
      <c r="G147" s="56"/>
      <c r="H147" s="56"/>
      <c r="I147" s="56"/>
    </row>
    <row r="148" spans="1:9" ht="57.6">
      <c r="A148" s="82" t="s">
        <v>217</v>
      </c>
      <c r="B148" s="67" t="s">
        <v>222</v>
      </c>
      <c r="C148" s="130" t="s">
        <v>223</v>
      </c>
      <c r="D148" s="36"/>
      <c r="E148" s="53">
        <f>Tabel4[[#This Row],[20192]]</f>
        <v>0</v>
      </c>
      <c r="F148" s="53"/>
      <c r="G148" s="56"/>
      <c r="H148" s="56"/>
      <c r="I148" s="56"/>
    </row>
    <row r="149" spans="1:9" ht="72">
      <c r="A149" s="82" t="s">
        <v>217</v>
      </c>
      <c r="B149" s="67" t="s">
        <v>224</v>
      </c>
      <c r="C149" s="130" t="s">
        <v>225</v>
      </c>
      <c r="D149" s="36"/>
      <c r="E149" s="53">
        <f>Tabel4[[#This Row],[20192]]</f>
        <v>0</v>
      </c>
      <c r="F149" s="53"/>
      <c r="G149" s="56"/>
      <c r="H149" s="56"/>
      <c r="I149" s="56"/>
    </row>
    <row r="150" spans="1:9" ht="86.45">
      <c r="A150" s="82" t="s">
        <v>217</v>
      </c>
      <c r="B150" s="67" t="s">
        <v>226</v>
      </c>
      <c r="C150" s="130" t="s">
        <v>227</v>
      </c>
      <c r="D150" s="36"/>
      <c r="E150" s="53">
        <f>Tabel4[[#This Row],[20192]]</f>
        <v>0</v>
      </c>
      <c r="F150" s="53"/>
      <c r="G150" s="56"/>
      <c r="H150" s="56"/>
      <c r="I150" s="56"/>
    </row>
    <row r="151" spans="1:9" ht="86.45">
      <c r="A151" s="82" t="s">
        <v>217</v>
      </c>
      <c r="B151" s="67" t="s">
        <v>127</v>
      </c>
      <c r="C151" s="130" t="s">
        <v>228</v>
      </c>
      <c r="D151" s="36"/>
      <c r="E151" s="53">
        <f>Tabel4[[#This Row],[20192]]</f>
        <v>0</v>
      </c>
      <c r="F151" s="53"/>
      <c r="G151" s="56"/>
      <c r="H151" s="56"/>
      <c r="I151" s="56"/>
    </row>
    <row r="152" spans="1:9" ht="144">
      <c r="A152" s="82" t="s">
        <v>217</v>
      </c>
      <c r="B152" s="67" t="s">
        <v>229</v>
      </c>
      <c r="C152" s="130" t="s">
        <v>230</v>
      </c>
      <c r="D152" s="36"/>
      <c r="E152" s="53">
        <f>Tabel4[[#This Row],[20192]]</f>
        <v>0</v>
      </c>
      <c r="F152" s="53"/>
      <c r="G152" s="56"/>
      <c r="H152" s="56"/>
      <c r="I152" s="56"/>
    </row>
    <row r="153" spans="1:9" ht="100.9">
      <c r="A153" s="82" t="s">
        <v>217</v>
      </c>
      <c r="B153" s="67" t="s">
        <v>231</v>
      </c>
      <c r="C153" s="130" t="s">
        <v>232</v>
      </c>
      <c r="D153" s="36"/>
      <c r="E153" s="53">
        <f>Tabel4[[#This Row],[20192]]</f>
        <v>0</v>
      </c>
      <c r="F153" s="53"/>
      <c r="G153" s="56"/>
      <c r="H153" s="56"/>
      <c r="I153" s="56"/>
    </row>
    <row r="154" spans="1:9" ht="86.45">
      <c r="A154" s="122" t="s">
        <v>217</v>
      </c>
      <c r="B154" s="128" t="s">
        <v>233</v>
      </c>
      <c r="C154" s="129" t="s">
        <v>234</v>
      </c>
      <c r="D154" s="125"/>
      <c r="E154" s="126">
        <f>Tabel4[[#This Row],[20192]]</f>
        <v>0</v>
      </c>
      <c r="F154" s="126"/>
      <c r="G154" s="127"/>
      <c r="H154" s="127"/>
      <c r="I154" s="127"/>
    </row>
    <row r="155" spans="1:9" ht="52.15" customHeight="1">
      <c r="A155" s="122" t="s">
        <v>217</v>
      </c>
      <c r="B155" s="128" t="s">
        <v>235</v>
      </c>
      <c r="C155" s="129" t="s">
        <v>236</v>
      </c>
      <c r="D155" s="125"/>
      <c r="E155" s="126">
        <f>Tabel4[[#This Row],[20192]]</f>
        <v>0</v>
      </c>
      <c r="F155" s="126"/>
      <c r="G155" s="127"/>
      <c r="H155" s="127"/>
      <c r="I155" s="127"/>
    </row>
    <row r="156" spans="1:9" ht="43.15">
      <c r="A156" s="122" t="s">
        <v>217</v>
      </c>
      <c r="B156" s="128" t="s">
        <v>122</v>
      </c>
      <c r="C156" s="129" t="s">
        <v>237</v>
      </c>
      <c r="D156" s="125"/>
      <c r="E156" s="126">
        <f>Tabel4[[#This Row],[20192]]</f>
        <v>0</v>
      </c>
      <c r="F156" s="126"/>
      <c r="G156" s="127"/>
      <c r="H156" s="127"/>
      <c r="I156" s="127"/>
    </row>
    <row r="157" spans="1:9" ht="110.45" customHeight="1">
      <c r="A157" s="43"/>
      <c r="B157" s="67" t="s">
        <v>238</v>
      </c>
      <c r="C157" s="78" t="s">
        <v>239</v>
      </c>
      <c r="D157" s="36"/>
      <c r="E157" s="53">
        <f>'POP 2019'!E157</f>
        <v>0</v>
      </c>
      <c r="F157" s="53"/>
      <c r="G157" s="56"/>
      <c r="H157" s="56"/>
      <c r="I157" s="56"/>
    </row>
    <row r="158" spans="1:9" ht="132.6" customHeight="1">
      <c r="A158" s="43"/>
      <c r="B158" s="67" t="s">
        <v>240</v>
      </c>
      <c r="C158" s="45" t="s">
        <v>241</v>
      </c>
      <c r="D158" s="36"/>
      <c r="E158" s="53">
        <f>'POP 2019'!E158</f>
        <v>0</v>
      </c>
      <c r="F158" s="53"/>
      <c r="G158" s="56"/>
      <c r="H158" s="56"/>
      <c r="I158" s="56"/>
    </row>
    <row r="159" spans="1:9" ht="129.6">
      <c r="A159" s="75"/>
      <c r="B159" s="83" t="s">
        <v>242</v>
      </c>
      <c r="C159" s="79" t="s">
        <v>243</v>
      </c>
      <c r="D159" s="44"/>
      <c r="E159" s="53">
        <f>'POP 2019'!E159</f>
        <v>0</v>
      </c>
      <c r="F159" s="54"/>
      <c r="G159" s="57"/>
      <c r="H159" s="57"/>
      <c r="I159" s="58"/>
    </row>
    <row r="160" spans="1:9" ht="49.9" customHeight="1">
      <c r="A160"/>
      <c r="B160" s="83" t="s">
        <v>27</v>
      </c>
      <c r="C160" s="60"/>
      <c r="D160" s="44"/>
      <c r="E160" s="53">
        <f>'POP 2019'!E160</f>
        <v>0</v>
      </c>
      <c r="F160" s="54" t="s">
        <v>152</v>
      </c>
      <c r="G160" s="57"/>
      <c r="H160" s="57"/>
      <c r="I160" s="58"/>
    </row>
    <row r="161" spans="1:9" ht="15">
      <c r="A161"/>
      <c r="B161" s="62"/>
      <c r="C161" s="63"/>
      <c r="E161" s="61"/>
      <c r="F161" s="61"/>
      <c r="G161" s="61"/>
      <c r="H161" s="61"/>
      <c r="I161" s="61"/>
    </row>
    <row r="162" spans="1:9" ht="18">
      <c r="A162"/>
      <c r="B162" s="12" t="s">
        <v>245</v>
      </c>
      <c r="C162" s="63"/>
      <c r="E162" s="61"/>
      <c r="F162" s="61"/>
      <c r="G162" s="61"/>
      <c r="H162" s="61"/>
      <c r="I162" s="61"/>
    </row>
    <row r="163" spans="1:9" ht="48" customHeight="1">
      <c r="A163"/>
      <c r="B163" s="64" t="s">
        <v>246</v>
      </c>
      <c r="C163" s="172"/>
      <c r="D163" s="173"/>
      <c r="E163" s="173"/>
      <c r="F163" s="173"/>
      <c r="G163" s="173"/>
      <c r="H163" s="173"/>
      <c r="I163" s="174"/>
    </row>
    <row r="164" spans="1:9" ht="49.15" customHeight="1">
      <c r="A164"/>
      <c r="B164" s="65" t="s">
        <v>247</v>
      </c>
      <c r="C164" s="172"/>
      <c r="D164" s="173"/>
      <c r="E164" s="173"/>
      <c r="F164" s="173"/>
      <c r="G164" s="173"/>
      <c r="H164" s="173"/>
      <c r="I164" s="174"/>
    </row>
    <row r="165" spans="1:9" ht="15">
      <c r="A165"/>
      <c r="B165" s="62"/>
      <c r="C165" s="63"/>
      <c r="E165" s="61"/>
      <c r="F165" s="61"/>
      <c r="G165" s="61"/>
      <c r="H165" s="61"/>
      <c r="I165" s="61"/>
    </row>
    <row r="166" spans="1:9" ht="16.899999999999999" customHeight="1">
      <c r="B166" s="12" t="s">
        <v>248</v>
      </c>
    </row>
    <row r="168" spans="1:9" ht="27" customHeight="1">
      <c r="B168" s="35" t="s">
        <v>249</v>
      </c>
      <c r="C168" s="35" t="s">
        <v>250</v>
      </c>
      <c r="D168" s="169" t="s">
        <v>251</v>
      </c>
      <c r="E168" s="169"/>
      <c r="F168" s="179" t="s">
        <v>252</v>
      </c>
      <c r="G168" s="180"/>
      <c r="H168" s="181" t="s">
        <v>253</v>
      </c>
      <c r="I168" s="182"/>
    </row>
    <row r="169" spans="1:9" ht="85.9" customHeight="1">
      <c r="B169" s="87"/>
      <c r="C169" s="87"/>
      <c r="D169" s="170"/>
      <c r="E169" s="171"/>
      <c r="F169" s="177"/>
      <c r="G169" s="178"/>
      <c r="H169" s="175"/>
      <c r="I169" s="176"/>
    </row>
    <row r="170" spans="1:9" ht="190.15" customHeight="1">
      <c r="B170" s="87"/>
      <c r="C170" s="87"/>
      <c r="D170" s="170"/>
      <c r="E170" s="171"/>
      <c r="F170" s="177"/>
      <c r="G170" s="178"/>
      <c r="H170" s="175"/>
      <c r="I170" s="176"/>
    </row>
    <row r="171" spans="1:9" ht="45" customHeight="1">
      <c r="B171" s="68"/>
      <c r="C171" s="68"/>
      <c r="D171" s="170"/>
      <c r="E171" s="171"/>
      <c r="F171" s="177"/>
      <c r="G171" s="178"/>
      <c r="H171" s="175"/>
      <c r="I171" s="176"/>
    </row>
    <row r="172" spans="1:9" ht="16.899999999999999" customHeight="1">
      <c r="B172" s="73" t="s">
        <v>254</v>
      </c>
      <c r="C172" s="71"/>
      <c r="D172" s="71"/>
      <c r="E172" s="71"/>
      <c r="F172" s="63"/>
      <c r="G172" s="86"/>
      <c r="H172" s="86"/>
      <c r="I172" s="86"/>
    </row>
    <row r="173" spans="1:9" ht="45" customHeight="1">
      <c r="B173" s="68"/>
      <c r="C173" s="68"/>
      <c r="D173" s="170"/>
      <c r="E173" s="171"/>
      <c r="F173" s="177"/>
      <c r="G173" s="178"/>
      <c r="H173" s="175"/>
      <c r="I173" s="176"/>
    </row>
    <row r="174" spans="1:9" ht="45" customHeight="1">
      <c r="B174" s="68"/>
      <c r="C174" s="68"/>
      <c r="D174" s="170"/>
      <c r="E174" s="171"/>
      <c r="F174" s="177"/>
      <c r="G174" s="178"/>
      <c r="H174" s="175"/>
      <c r="I174" s="176"/>
    </row>
    <row r="175" spans="1:9" ht="16.899999999999999" customHeight="1">
      <c r="B175" s="74" t="s">
        <v>255</v>
      </c>
      <c r="C175" s="71"/>
      <c r="D175" s="71"/>
      <c r="E175" s="71"/>
      <c r="F175" s="72"/>
    </row>
    <row r="176" spans="1:9" ht="45" customHeight="1">
      <c r="B176" s="191"/>
      <c r="C176" s="173"/>
      <c r="D176" s="173"/>
      <c r="E176" s="173"/>
      <c r="F176" s="173"/>
      <c r="G176" s="173"/>
      <c r="H176" s="173"/>
      <c r="I176" s="174"/>
    </row>
    <row r="178" spans="2:9" ht="16.899999999999999" customHeight="1">
      <c r="B178" s="49" t="s">
        <v>256</v>
      </c>
    </row>
    <row r="180" spans="2:9" ht="26.45" customHeight="1">
      <c r="B180" s="48" t="s">
        <v>257</v>
      </c>
      <c r="C180" s="187" t="s">
        <v>258</v>
      </c>
      <c r="D180" s="187"/>
      <c r="E180" s="187"/>
      <c r="F180" s="66"/>
      <c r="G180" s="186" t="s">
        <v>253</v>
      </c>
      <c r="H180" s="186"/>
      <c r="I180" s="69" t="s">
        <v>259</v>
      </c>
    </row>
    <row r="181" spans="2:9" ht="136.15" customHeight="1">
      <c r="B181" s="68" t="str">
        <f>IF(B169="","",B169)</f>
        <v/>
      </c>
      <c r="C181" s="183"/>
      <c r="D181" s="184"/>
      <c r="E181" s="184"/>
      <c r="F181" s="185"/>
      <c r="G181" s="170" t="str">
        <f>IF(H169="","",H169)</f>
        <v/>
      </c>
      <c r="H181" s="171"/>
      <c r="I181" s="85"/>
    </row>
    <row r="182" spans="2:9" ht="256.14999999999998" customHeight="1">
      <c r="B182" s="68" t="str">
        <f>IF(B170="","",B170)</f>
        <v/>
      </c>
      <c r="C182" s="192"/>
      <c r="D182" s="184"/>
      <c r="E182" s="184"/>
      <c r="F182" s="185"/>
      <c r="G182" s="170" t="str">
        <f>IF(H170="","",H170)</f>
        <v/>
      </c>
      <c r="H182" s="171"/>
      <c r="I182" s="85"/>
    </row>
    <row r="183" spans="2:9" ht="45" customHeight="1">
      <c r="B183" s="68" t="str">
        <f>IF(B171="","",B171)</f>
        <v/>
      </c>
      <c r="C183" s="183"/>
      <c r="D183" s="184"/>
      <c r="E183" s="184"/>
      <c r="F183" s="185"/>
      <c r="G183" s="170" t="str">
        <f>IF(H171="","",H171)</f>
        <v/>
      </c>
      <c r="H183" s="171"/>
      <c r="I183" s="85"/>
    </row>
    <row r="184" spans="2:9" ht="45" customHeight="1">
      <c r="B184" s="68"/>
      <c r="C184" s="183"/>
      <c r="D184" s="184"/>
      <c r="E184" s="184"/>
      <c r="F184" s="185"/>
      <c r="G184" s="170"/>
      <c r="H184" s="171"/>
      <c r="I184" s="85"/>
    </row>
    <row r="185" spans="2:9" ht="45" customHeight="1">
      <c r="B185" s="68" t="str">
        <f>IF(B173="","",B173)</f>
        <v/>
      </c>
      <c r="C185" s="183"/>
      <c r="D185" s="184"/>
      <c r="E185" s="184"/>
      <c r="F185" s="185"/>
      <c r="G185" s="170" t="str">
        <f>IF(H173="","",H173)</f>
        <v/>
      </c>
      <c r="H185" s="171"/>
      <c r="I185" s="85"/>
    </row>
    <row r="186" spans="2:9" ht="45" customHeight="1">
      <c r="B186" s="68" t="str">
        <f>IF(B174="","",B174)</f>
        <v/>
      </c>
      <c r="C186" s="183"/>
      <c r="D186" s="184"/>
      <c r="E186" s="184"/>
      <c r="F186" s="185"/>
      <c r="G186" s="170" t="str">
        <f>IF(H174="","",H174)</f>
        <v/>
      </c>
      <c r="H186" s="171"/>
      <c r="I186" s="85"/>
    </row>
    <row r="189" spans="2:9" ht="16.899999999999999" customHeight="1">
      <c r="B189" s="50" t="s">
        <v>262</v>
      </c>
    </row>
    <row r="191" spans="2:9" ht="26.45" customHeight="1">
      <c r="B191" s="51" t="s">
        <v>257</v>
      </c>
      <c r="C191" s="188" t="s">
        <v>258</v>
      </c>
      <c r="D191" s="188"/>
      <c r="E191" s="188"/>
      <c r="F191" s="188"/>
      <c r="G191" s="190" t="s">
        <v>253</v>
      </c>
      <c r="H191" s="190"/>
      <c r="I191" s="70" t="s">
        <v>259</v>
      </c>
    </row>
    <row r="192" spans="2:9" ht="45" customHeight="1">
      <c r="B192" s="68" t="str">
        <f>IF(I181="Ja",B181,"")</f>
        <v/>
      </c>
      <c r="C192" s="170"/>
      <c r="D192" s="189"/>
      <c r="E192" s="189"/>
      <c r="F192" s="171"/>
      <c r="G192" s="175" t="str">
        <f>IF(I181="Ja",G181,"")</f>
        <v/>
      </c>
      <c r="H192" s="176"/>
      <c r="I192" s="85"/>
    </row>
    <row r="193" spans="2:9" ht="45" customHeight="1">
      <c r="B193" s="68" t="str">
        <f t="shared" ref="B193:B197" si="0">IF(I182="Ja",B182,"")</f>
        <v/>
      </c>
      <c r="C193" s="170"/>
      <c r="D193" s="189"/>
      <c r="E193" s="189"/>
      <c r="F193" s="171"/>
      <c r="G193" s="175" t="str">
        <f t="shared" ref="G193:G197" si="1">IF(I182="Ja",G182,"")</f>
        <v/>
      </c>
      <c r="H193" s="176"/>
      <c r="I193" s="85"/>
    </row>
    <row r="194" spans="2:9" ht="45" customHeight="1">
      <c r="B194" s="68" t="str">
        <f t="shared" si="0"/>
        <v/>
      </c>
      <c r="C194" s="170"/>
      <c r="D194" s="189"/>
      <c r="E194" s="189"/>
      <c r="F194" s="171"/>
      <c r="G194" s="175" t="str">
        <f t="shared" si="1"/>
        <v/>
      </c>
      <c r="H194" s="176"/>
      <c r="I194" s="85"/>
    </row>
    <row r="195" spans="2:9" ht="45" customHeight="1">
      <c r="B195" s="68" t="str">
        <f t="shared" si="0"/>
        <v/>
      </c>
      <c r="C195" s="170"/>
      <c r="D195" s="189"/>
      <c r="E195" s="189"/>
      <c r="F195" s="171"/>
      <c r="G195" s="175" t="str">
        <f t="shared" si="1"/>
        <v/>
      </c>
      <c r="H195" s="176"/>
      <c r="I195" s="85"/>
    </row>
    <row r="196" spans="2:9" ht="45" customHeight="1">
      <c r="B196" s="68" t="str">
        <f t="shared" si="0"/>
        <v/>
      </c>
      <c r="C196" s="170"/>
      <c r="D196" s="189"/>
      <c r="E196" s="189"/>
      <c r="F196" s="171"/>
      <c r="G196" s="175" t="str">
        <f t="shared" si="1"/>
        <v/>
      </c>
      <c r="H196" s="176"/>
      <c r="I196" s="85"/>
    </row>
    <row r="197" spans="2:9" ht="45" customHeight="1">
      <c r="B197" s="68" t="str">
        <f t="shared" si="0"/>
        <v/>
      </c>
      <c r="C197" s="170"/>
      <c r="D197" s="189"/>
      <c r="E197" s="189"/>
      <c r="F197" s="171"/>
      <c r="G197" s="175" t="str">
        <f t="shared" si="1"/>
        <v/>
      </c>
      <c r="H197" s="176"/>
      <c r="I197" s="85"/>
    </row>
  </sheetData>
  <mergeCells count="84">
    <mergeCell ref="E9:F9"/>
    <mergeCell ref="G4:I4"/>
    <mergeCell ref="E5:F5"/>
    <mergeCell ref="E6:F6"/>
    <mergeCell ref="E7:F7"/>
    <mergeCell ref="E8:F8"/>
    <mergeCell ref="C26:I26"/>
    <mergeCell ref="C13:I13"/>
    <mergeCell ref="C14:I14"/>
    <mergeCell ref="C15:I15"/>
    <mergeCell ref="C18:I18"/>
    <mergeCell ref="C19:I19"/>
    <mergeCell ref="C20:I20"/>
    <mergeCell ref="C21:I21"/>
    <mergeCell ref="C22:I22"/>
    <mergeCell ref="C23:I23"/>
    <mergeCell ref="C24:I24"/>
    <mergeCell ref="C25:I25"/>
    <mergeCell ref="C46:I46"/>
    <mergeCell ref="C29:I29"/>
    <mergeCell ref="C30:I30"/>
    <mergeCell ref="C33:I33"/>
    <mergeCell ref="C34:I34"/>
    <mergeCell ref="C35:I35"/>
    <mergeCell ref="C38:I38"/>
    <mergeCell ref="C39:I39"/>
    <mergeCell ref="C40:I40"/>
    <mergeCell ref="C43:I43"/>
    <mergeCell ref="C44:I44"/>
    <mergeCell ref="C45:I45"/>
    <mergeCell ref="D169:E169"/>
    <mergeCell ref="F169:G169"/>
    <mergeCell ref="H169:I169"/>
    <mergeCell ref="C47:I47"/>
    <mergeCell ref="E49:I49"/>
    <mergeCell ref="E50:I50"/>
    <mergeCell ref="E75:I75"/>
    <mergeCell ref="E76:I76"/>
    <mergeCell ref="C163:I163"/>
    <mergeCell ref="C164:I164"/>
    <mergeCell ref="D168:E168"/>
    <mergeCell ref="F168:G168"/>
    <mergeCell ref="H168:I168"/>
    <mergeCell ref="D170:E170"/>
    <mergeCell ref="F170:G170"/>
    <mergeCell ref="H170:I170"/>
    <mergeCell ref="D171:E171"/>
    <mergeCell ref="F171:G171"/>
    <mergeCell ref="H171:I171"/>
    <mergeCell ref="D173:E173"/>
    <mergeCell ref="F173:G173"/>
    <mergeCell ref="H173:I173"/>
    <mergeCell ref="D174:E174"/>
    <mergeCell ref="F174:G174"/>
    <mergeCell ref="H174:I174"/>
    <mergeCell ref="B176:I176"/>
    <mergeCell ref="C180:E180"/>
    <mergeCell ref="G180:H180"/>
    <mergeCell ref="C181:F181"/>
    <mergeCell ref="G181:H181"/>
    <mergeCell ref="C182:F182"/>
    <mergeCell ref="G182:H182"/>
    <mergeCell ref="C183:F183"/>
    <mergeCell ref="G183:H183"/>
    <mergeCell ref="C184:F184"/>
    <mergeCell ref="G184:H184"/>
    <mergeCell ref="C185:F185"/>
    <mergeCell ref="G185:H185"/>
    <mergeCell ref="C186:F186"/>
    <mergeCell ref="G186:H186"/>
    <mergeCell ref="C191:F191"/>
    <mergeCell ref="G191:H191"/>
    <mergeCell ref="C192:F192"/>
    <mergeCell ref="G192:H192"/>
    <mergeCell ref="C193:F193"/>
    <mergeCell ref="G193:H193"/>
    <mergeCell ref="C197:F197"/>
    <mergeCell ref="G197:H197"/>
    <mergeCell ref="C194:F194"/>
    <mergeCell ref="G194:H194"/>
    <mergeCell ref="C195:F195"/>
    <mergeCell ref="G195:H195"/>
    <mergeCell ref="C196:F196"/>
    <mergeCell ref="G196:H196"/>
  </mergeCells>
  <conditionalFormatting sqref="E78:I160">
    <cfRule type="cellIs" dxfId="62" priority="1" operator="equal">
      <formula>"slecht"</formula>
    </cfRule>
    <cfRule type="cellIs" dxfId="61" priority="2" operator="equal">
      <formula>"minder goed"</formula>
    </cfRule>
    <cfRule type="cellIs" dxfId="60" priority="3" operator="equal">
      <formula>"middelmatig"</formula>
    </cfRule>
    <cfRule type="cellIs" dxfId="59" priority="4" operator="equal">
      <formula>"goed"</formula>
    </cfRule>
    <cfRule type="cellIs" dxfId="58" priority="5" operator="equal">
      <formula>"zeer goed"</formula>
    </cfRule>
  </conditionalFormatting>
  <conditionalFormatting sqref="E52:I61">
    <cfRule type="cellIs" dxfId="57" priority="6" operator="equal">
      <formula>"slecht"</formula>
    </cfRule>
    <cfRule type="cellIs" dxfId="56" priority="7" operator="equal">
      <formula>"minder goed"</formula>
    </cfRule>
    <cfRule type="cellIs" dxfId="55" priority="8" operator="equal">
      <formula>"middelmatig"</formula>
    </cfRule>
    <cfRule type="cellIs" dxfId="54" priority="9" operator="equal">
      <formula>"goed"</formula>
    </cfRule>
    <cfRule type="cellIs" dxfId="53" priority="10" operator="equal">
      <formula>"zeer goed"</formula>
    </cfRule>
  </conditionalFormatting>
  <pageMargins left="0.19685039370078741" right="0.19685039370078741" top="0.35433070866141736" bottom="0.35433070866141736" header="0.31496062992125984" footer="0.31496062992125984"/>
  <pageSetup paperSize="9" orientation="landscape" r:id="rId1"/>
  <rowBreaks count="7" manualBreakCount="7">
    <brk id="36" max="16383" man="1"/>
    <brk id="47" max="16383" man="1"/>
    <brk id="62" max="16383" man="1"/>
    <brk id="161" max="16383" man="1"/>
    <brk id="165" max="16383" man="1"/>
    <brk id="177" max="16383" man="1"/>
    <brk id="188" max="16383"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Codes!$A$39:$A$40</xm:f>
          </x14:formula1>
          <xm:sqref>I181:I186 I192:I197</xm:sqref>
        </x14:dataValidation>
        <x14:dataValidation type="list" allowBlank="1" showInputMessage="1" showErrorMessage="1" xr:uid="{00000000-0002-0000-0300-000001000000}">
          <x14:formula1>
            <xm:f>Codes!$A$35:$A$37</xm:f>
          </x14:formula1>
          <xm:sqref>H169:I171 H173:I174</xm:sqref>
        </x14:dataValidation>
        <x14:dataValidation type="list" allowBlank="1" showInputMessage="1" showErrorMessage="1" xr:uid="{00000000-0002-0000-0300-000002000000}">
          <x14:formula1>
            <xm:f>Codes!$A$28:$A$32</xm:f>
          </x14:formula1>
          <xm:sqref>E165:I165 E161:I162 F52:I61</xm:sqref>
        </x14:dataValidation>
        <x14:dataValidation type="list" allowBlank="1" showInputMessage="1" showErrorMessage="1" xr:uid="{00000000-0002-0000-0300-000003000000}">
          <x14:formula1>
            <xm:f>Codes!$A$28:$A$33</xm:f>
          </x14:formula1>
          <xm:sqref>F78:I160</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185"/>
  <sheetViews>
    <sheetView topLeftCell="B157" workbookViewId="0">
      <selection activeCell="B164" sqref="B164"/>
    </sheetView>
  </sheetViews>
  <sheetFormatPr defaultRowHeight="14.45"/>
  <cols>
    <col min="1" max="1" width="0" hidden="1" customWidth="1"/>
    <col min="2" max="2" width="22.28515625" customWidth="1"/>
    <col min="3" max="3" width="37.5703125" customWidth="1"/>
    <col min="4" max="4" width="16.7109375" customWidth="1"/>
  </cols>
  <sheetData>
    <row r="1" spans="2:9" ht="18">
      <c r="C1" s="1"/>
    </row>
    <row r="2" spans="2:9" ht="18">
      <c r="B2" s="1"/>
    </row>
    <row r="3" spans="2:9" ht="18">
      <c r="B3" s="1"/>
    </row>
    <row r="4" spans="2:9">
      <c r="G4" s="116" t="s">
        <v>28</v>
      </c>
      <c r="H4" s="116"/>
      <c r="I4" s="116"/>
    </row>
    <row r="5" spans="2:9">
      <c r="B5" s="4" t="s">
        <v>0</v>
      </c>
      <c r="C5" s="4"/>
      <c r="D5" s="21"/>
      <c r="E5" s="117" t="s">
        <v>29</v>
      </c>
      <c r="F5" s="117"/>
      <c r="G5" s="31" t="s">
        <v>30</v>
      </c>
      <c r="H5" s="30" t="s">
        <v>31</v>
      </c>
      <c r="I5" s="29" t="s">
        <v>32</v>
      </c>
    </row>
    <row r="6" spans="2:9">
      <c r="B6" s="3" t="s">
        <v>1</v>
      </c>
      <c r="C6" s="22">
        <f>Persoonsgegevens!F3</f>
        <v>0</v>
      </c>
      <c r="D6" s="21"/>
      <c r="E6" s="118" t="s">
        <v>264</v>
      </c>
      <c r="F6" s="119"/>
      <c r="G6" s="76" t="s">
        <v>265</v>
      </c>
      <c r="H6" s="77"/>
      <c r="I6" s="77"/>
    </row>
    <row r="7" spans="2:9">
      <c r="B7" s="3" t="s">
        <v>33</v>
      </c>
      <c r="C7" s="23">
        <f>Persoonsgegevens!D12</f>
        <v>0</v>
      </c>
      <c r="D7" s="21"/>
      <c r="E7" s="118" t="s">
        <v>266</v>
      </c>
      <c r="F7" s="119"/>
      <c r="G7" s="76" t="s">
        <v>265</v>
      </c>
      <c r="H7" s="77"/>
      <c r="I7" s="77"/>
    </row>
    <row r="8" spans="2:9">
      <c r="B8" s="3" t="s">
        <v>34</v>
      </c>
      <c r="C8" s="24">
        <f>Persoonsgegevens!D15</f>
        <v>0</v>
      </c>
      <c r="D8" s="21"/>
      <c r="E8" s="118"/>
      <c r="F8" s="119"/>
      <c r="G8" s="76"/>
      <c r="H8" s="77"/>
      <c r="I8" s="77"/>
    </row>
    <row r="9" spans="2:9">
      <c r="D9" s="5"/>
      <c r="E9" s="118"/>
      <c r="F9" s="119"/>
      <c r="G9" s="76"/>
      <c r="H9" s="77"/>
      <c r="I9" s="77"/>
    </row>
    <row r="10" spans="2:9" ht="18">
      <c r="B10" s="12" t="s">
        <v>35</v>
      </c>
    </row>
    <row r="11" spans="2:9" ht="18">
      <c r="B11" s="1"/>
    </row>
    <row r="12" spans="2:9" ht="16.149999999999999">
      <c r="B12" s="8" t="s">
        <v>36</v>
      </c>
      <c r="C12" s="7"/>
      <c r="D12" s="7"/>
      <c r="E12" s="7"/>
      <c r="F12" s="7"/>
      <c r="G12" s="7"/>
      <c r="H12" s="7"/>
      <c r="I12" s="7"/>
    </row>
    <row r="13" spans="2:9" ht="174.6" customHeight="1">
      <c r="B13" s="20" t="s">
        <v>37</v>
      </c>
      <c r="C13" s="113">
        <f>'POP 2020'!C13:I13</f>
        <v>0</v>
      </c>
      <c r="D13" s="114"/>
      <c r="E13" s="114"/>
      <c r="F13" s="114"/>
      <c r="G13" s="114"/>
      <c r="H13" s="114"/>
      <c r="I13" s="115"/>
    </row>
    <row r="14" spans="2:9" ht="28.9">
      <c r="B14" s="20" t="s">
        <v>38</v>
      </c>
      <c r="C14" s="113">
        <f>'POP 2020'!C14:I14</f>
        <v>0</v>
      </c>
      <c r="D14" s="114"/>
      <c r="E14" s="114"/>
      <c r="F14" s="114"/>
      <c r="G14" s="114"/>
      <c r="H14" s="114"/>
      <c r="I14" s="115"/>
    </row>
    <row r="15" spans="2:9" ht="69.599999999999994" customHeight="1">
      <c r="B15" s="25" t="s">
        <v>39</v>
      </c>
      <c r="C15" s="113">
        <f>'POP 2020'!C15:I15</f>
        <v>0</v>
      </c>
      <c r="D15" s="114"/>
      <c r="E15" s="114"/>
      <c r="F15" s="114"/>
      <c r="G15" s="114"/>
      <c r="H15" s="114"/>
      <c r="I15" s="115"/>
    </row>
    <row r="16" spans="2:9">
      <c r="B16" s="5"/>
      <c r="C16" s="5"/>
      <c r="D16" s="5"/>
      <c r="E16" s="5"/>
      <c r="F16" s="5"/>
      <c r="G16" s="2"/>
      <c r="H16" s="2"/>
      <c r="I16" s="2"/>
    </row>
    <row r="17" spans="2:9" ht="16.149999999999999">
      <c r="B17" s="8" t="s">
        <v>40</v>
      </c>
      <c r="C17" s="6"/>
      <c r="D17" s="6"/>
      <c r="E17" s="6"/>
      <c r="F17" s="6"/>
      <c r="G17" s="6"/>
      <c r="H17" s="6"/>
      <c r="I17" s="6"/>
    </row>
    <row r="18" spans="2:9" ht="28.9">
      <c r="B18" s="17" t="s">
        <v>41</v>
      </c>
      <c r="C18" s="120">
        <f>'POP 2020'!C18:I18</f>
        <v>0</v>
      </c>
      <c r="D18" s="114"/>
      <c r="E18" s="114"/>
      <c r="F18" s="114"/>
      <c r="G18" s="114"/>
      <c r="H18" s="114"/>
      <c r="I18" s="115"/>
    </row>
    <row r="19" spans="2:9" ht="160.15" customHeight="1">
      <c r="B19" s="17" t="s">
        <v>42</v>
      </c>
      <c r="C19" s="120">
        <f>'POP 2020'!C19:I19</f>
        <v>0</v>
      </c>
      <c r="D19" s="114"/>
      <c r="E19" s="114"/>
      <c r="F19" s="114"/>
      <c r="G19" s="114"/>
      <c r="H19" s="114"/>
      <c r="I19" s="115"/>
    </row>
    <row r="20" spans="2:9" ht="54.6" customHeight="1">
      <c r="B20" s="17" t="s">
        <v>43</v>
      </c>
      <c r="C20" s="120">
        <f>'POP 2020'!C20:I20</f>
        <v>0</v>
      </c>
      <c r="D20" s="114"/>
      <c r="E20" s="114"/>
      <c r="F20" s="114"/>
      <c r="G20" s="114"/>
      <c r="H20" s="114"/>
      <c r="I20" s="115"/>
    </row>
    <row r="21" spans="2:9" ht="126" customHeight="1">
      <c r="B21" s="25" t="s">
        <v>44</v>
      </c>
      <c r="C21" s="120">
        <f>'POP 2020'!C21:I21</f>
        <v>0</v>
      </c>
      <c r="D21" s="114"/>
      <c r="E21" s="114"/>
      <c r="F21" s="114"/>
      <c r="G21" s="114"/>
      <c r="H21" s="114"/>
      <c r="I21" s="115"/>
    </row>
    <row r="22" spans="2:9">
      <c r="B22" s="55" t="s">
        <v>45</v>
      </c>
      <c r="C22" s="120">
        <f>'POP 2020'!C22:I22</f>
        <v>0</v>
      </c>
      <c r="D22" s="114"/>
      <c r="E22" s="114"/>
      <c r="F22" s="114"/>
      <c r="G22" s="114"/>
      <c r="H22" s="114"/>
      <c r="I22" s="115"/>
    </row>
    <row r="23" spans="2:9" ht="55.9" customHeight="1">
      <c r="B23" s="17" t="s">
        <v>46</v>
      </c>
      <c r="C23" s="120">
        <f>'POP 2020'!C23:I23</f>
        <v>0</v>
      </c>
      <c r="D23" s="114"/>
      <c r="E23" s="114"/>
      <c r="F23" s="114"/>
      <c r="G23" s="114"/>
      <c r="H23" s="114"/>
      <c r="I23" s="115"/>
    </row>
    <row r="24" spans="2:9" ht="94.9" customHeight="1">
      <c r="B24" s="25" t="s">
        <v>47</v>
      </c>
      <c r="C24" s="120">
        <f>'POP 2020'!C24:I24</f>
        <v>0</v>
      </c>
      <c r="D24" s="114"/>
      <c r="E24" s="114"/>
      <c r="F24" s="114"/>
      <c r="G24" s="114"/>
      <c r="H24" s="114"/>
      <c r="I24" s="115"/>
    </row>
    <row r="25" spans="2:9" ht="144">
      <c r="B25" s="25" t="s">
        <v>48</v>
      </c>
      <c r="C25" s="120">
        <f>'POP 2020'!C25:I25</f>
        <v>0</v>
      </c>
      <c r="D25" s="114"/>
      <c r="E25" s="114"/>
      <c r="F25" s="114"/>
      <c r="G25" s="114"/>
      <c r="H25" s="114"/>
      <c r="I25" s="115"/>
    </row>
    <row r="26" spans="2:9" ht="158.44999999999999">
      <c r="B26" s="25" t="s">
        <v>49</v>
      </c>
      <c r="C26" s="120">
        <f>'POP 2020'!C26:I26</f>
        <v>0</v>
      </c>
      <c r="D26" s="114"/>
      <c r="E26" s="114"/>
      <c r="F26" s="114"/>
      <c r="G26" s="114"/>
      <c r="H26" s="114"/>
      <c r="I26" s="115"/>
    </row>
    <row r="27" spans="2:9">
      <c r="G27" s="2"/>
      <c r="H27" s="2"/>
      <c r="I27" s="2"/>
    </row>
    <row r="28" spans="2:9" ht="16.149999999999999">
      <c r="B28" s="8" t="s">
        <v>50</v>
      </c>
      <c r="C28" s="8"/>
      <c r="D28" s="8"/>
      <c r="E28" s="8"/>
      <c r="F28" s="8"/>
      <c r="G28" s="8"/>
      <c r="H28" s="8"/>
      <c r="I28" s="8"/>
    </row>
    <row r="29" spans="2:9" ht="90.6" customHeight="1">
      <c r="B29" s="17" t="s">
        <v>51</v>
      </c>
      <c r="C29" s="113">
        <f>'POP 2020'!C29:I29</f>
        <v>0</v>
      </c>
      <c r="D29" s="114"/>
      <c r="E29" s="114"/>
      <c r="F29" s="114"/>
      <c r="G29" s="114"/>
      <c r="H29" s="114"/>
      <c r="I29" s="115"/>
    </row>
    <row r="30" spans="2:9" ht="85.15" customHeight="1">
      <c r="B30" s="25" t="s">
        <v>52</v>
      </c>
      <c r="C30" s="113">
        <f>'POP 2020'!C30:I30</f>
        <v>0</v>
      </c>
      <c r="D30" s="114"/>
      <c r="E30" s="114"/>
      <c r="F30" s="114"/>
      <c r="G30" s="114"/>
      <c r="H30" s="114"/>
      <c r="I30" s="115"/>
    </row>
    <row r="31" spans="2:9">
      <c r="B31" s="10"/>
      <c r="C31" s="10"/>
      <c r="D31" s="10"/>
      <c r="E31" s="10"/>
      <c r="F31" s="10"/>
      <c r="G31" s="5"/>
      <c r="H31" s="11"/>
      <c r="I31" s="11"/>
    </row>
    <row r="32" spans="2:9" ht="16.149999999999999">
      <c r="B32" s="8" t="s">
        <v>53</v>
      </c>
      <c r="C32" s="8"/>
      <c r="D32" s="8"/>
      <c r="E32" s="8"/>
      <c r="F32" s="8"/>
      <c r="G32" s="8"/>
      <c r="H32" s="8"/>
      <c r="I32" s="8"/>
    </row>
    <row r="33" spans="2:9">
      <c r="B33" s="26" t="s">
        <v>54</v>
      </c>
      <c r="C33" s="113">
        <f>'POP 2020'!C33:I33</f>
        <v>0</v>
      </c>
      <c r="D33" s="114"/>
      <c r="E33" s="114"/>
      <c r="F33" s="114"/>
      <c r="G33" s="114"/>
      <c r="H33" s="114"/>
      <c r="I33" s="115"/>
    </row>
    <row r="34" spans="2:9">
      <c r="B34" s="27" t="s">
        <v>55</v>
      </c>
      <c r="C34" s="113">
        <f>'POP 2020'!C34:I34</f>
        <v>0</v>
      </c>
      <c r="D34" s="114"/>
      <c r="E34" s="114"/>
      <c r="F34" s="114"/>
      <c r="G34" s="114"/>
      <c r="H34" s="114"/>
      <c r="I34" s="115"/>
    </row>
    <row r="35" spans="2:9" ht="28.9">
      <c r="B35" s="28" t="s">
        <v>56</v>
      </c>
      <c r="C35" s="113">
        <f>'POP 2020'!C35:I35</f>
        <v>0</v>
      </c>
      <c r="D35" s="114"/>
      <c r="E35" s="114"/>
      <c r="F35" s="114"/>
      <c r="G35" s="114"/>
      <c r="H35" s="114"/>
      <c r="I35" s="115"/>
    </row>
    <row r="36" spans="2:9">
      <c r="B36" s="10"/>
      <c r="C36" s="10"/>
      <c r="D36" s="10"/>
      <c r="E36" s="10"/>
      <c r="F36" s="10"/>
      <c r="G36" s="11"/>
      <c r="H36" s="11"/>
      <c r="I36" s="11"/>
    </row>
    <row r="37" spans="2:9" ht="16.149999999999999">
      <c r="B37" s="8" t="s">
        <v>57</v>
      </c>
      <c r="C37" s="8"/>
      <c r="D37" s="8"/>
      <c r="E37" s="8"/>
      <c r="F37" s="8"/>
      <c r="G37" s="8"/>
      <c r="H37" s="8"/>
      <c r="I37" s="8"/>
    </row>
    <row r="38" spans="2:9" ht="160.15" customHeight="1">
      <c r="B38" s="17" t="s">
        <v>58</v>
      </c>
      <c r="C38" s="113">
        <f>'POP 2020'!C38:I38</f>
        <v>0</v>
      </c>
      <c r="D38" s="114"/>
      <c r="E38" s="114"/>
      <c r="F38" s="114"/>
      <c r="G38" s="114"/>
      <c r="H38" s="114"/>
      <c r="I38" s="115"/>
    </row>
    <row r="39" spans="2:9" ht="100.9">
      <c r="B39" s="17" t="s">
        <v>59</v>
      </c>
      <c r="C39" s="113">
        <f>'POP 2020'!C39:I39</f>
        <v>0</v>
      </c>
      <c r="D39" s="114"/>
      <c r="E39" s="114"/>
      <c r="F39" s="114"/>
      <c r="G39" s="114"/>
      <c r="H39" s="114"/>
      <c r="I39" s="115"/>
    </row>
    <row r="40" spans="2:9" ht="54.6" customHeight="1">
      <c r="B40" s="18" t="s">
        <v>60</v>
      </c>
      <c r="C40" s="113">
        <f>'POP 2020'!C40:I40</f>
        <v>0</v>
      </c>
      <c r="D40" s="114"/>
      <c r="E40" s="114"/>
      <c r="F40" s="114"/>
      <c r="G40" s="114"/>
      <c r="H40" s="114"/>
      <c r="I40" s="115"/>
    </row>
    <row r="42" spans="2:9" ht="18">
      <c r="B42" s="12" t="s">
        <v>61</v>
      </c>
      <c r="C42" s="1"/>
      <c r="D42" s="1"/>
      <c r="E42" s="1"/>
      <c r="F42" s="1"/>
    </row>
    <row r="43" spans="2:9" ht="41.45" customHeight="1">
      <c r="B43" s="19" t="s">
        <v>62</v>
      </c>
      <c r="C43" s="113">
        <f>'POP 2020'!C43:I43</f>
        <v>0</v>
      </c>
      <c r="D43" s="114"/>
      <c r="E43" s="114"/>
      <c r="F43" s="114"/>
      <c r="G43" s="114"/>
      <c r="H43" s="114"/>
      <c r="I43" s="115"/>
    </row>
    <row r="44" spans="2:9" ht="50.45" customHeight="1">
      <c r="B44" s="19" t="s">
        <v>63</v>
      </c>
      <c r="C44" s="113">
        <f>'POP 2020'!C44:I44</f>
        <v>0</v>
      </c>
      <c r="D44" s="114"/>
      <c r="E44" s="114"/>
      <c r="F44" s="114"/>
      <c r="G44" s="114"/>
      <c r="H44" s="114"/>
      <c r="I44" s="115"/>
    </row>
    <row r="45" spans="2:9" ht="50.45" customHeight="1">
      <c r="B45" s="18" t="s">
        <v>64</v>
      </c>
      <c r="C45" s="113">
        <f>'POP 2020'!C45:I45</f>
        <v>0</v>
      </c>
      <c r="D45" s="114"/>
      <c r="E45" s="114"/>
      <c r="F45" s="114"/>
      <c r="G45" s="114"/>
      <c r="H45" s="114"/>
      <c r="I45" s="115"/>
    </row>
    <row r="46" spans="2:9" ht="67.900000000000006" customHeight="1">
      <c r="B46" s="18" t="s">
        <v>65</v>
      </c>
      <c r="C46" s="113">
        <f>'POP 2020'!C46:I46</f>
        <v>0</v>
      </c>
      <c r="D46" s="114"/>
      <c r="E46" s="114"/>
      <c r="F46" s="114"/>
      <c r="G46" s="114"/>
      <c r="H46" s="114"/>
      <c r="I46" s="115"/>
    </row>
    <row r="47" spans="2:9" ht="66" customHeight="1">
      <c r="B47" s="18" t="s">
        <v>66</v>
      </c>
      <c r="C47" s="113">
        <f>'POP 2020'!C47:I47</f>
        <v>0</v>
      </c>
      <c r="D47" s="114"/>
      <c r="E47" s="114"/>
      <c r="F47" s="114"/>
      <c r="G47" s="114"/>
      <c r="H47" s="114"/>
      <c r="I47" s="115"/>
    </row>
    <row r="49" spans="2:9" ht="18">
      <c r="B49" s="12" t="s">
        <v>67</v>
      </c>
      <c r="C49" s="12"/>
      <c r="E49" s="105" t="s">
        <v>68</v>
      </c>
      <c r="F49" s="105"/>
      <c r="G49" s="105"/>
      <c r="H49" s="105"/>
      <c r="I49" s="105"/>
    </row>
    <row r="50" spans="2:9">
      <c r="E50" s="106" t="s">
        <v>69</v>
      </c>
      <c r="F50" s="106"/>
      <c r="G50" s="106"/>
      <c r="H50" s="106"/>
      <c r="I50" s="106"/>
    </row>
    <row r="51" spans="2:9">
      <c r="B51" s="15" t="s">
        <v>70</v>
      </c>
      <c r="C51" s="14" t="s">
        <v>71</v>
      </c>
      <c r="D51" s="14"/>
      <c r="E51" s="13">
        <v>2019</v>
      </c>
      <c r="F51" s="13">
        <v>2020</v>
      </c>
      <c r="G51" s="13">
        <v>2021</v>
      </c>
      <c r="H51" s="13">
        <v>2022</v>
      </c>
      <c r="I51" s="16">
        <v>2023</v>
      </c>
    </row>
    <row r="52" spans="2:9" ht="148.9" customHeight="1">
      <c r="B52" s="46" t="s">
        <v>72</v>
      </c>
      <c r="C52" s="47" t="s">
        <v>73</v>
      </c>
      <c r="D52" s="9"/>
      <c r="E52" s="52">
        <f>'POP 2019'!E52</f>
        <v>0</v>
      </c>
      <c r="F52" s="52">
        <f>'POP 2020'!F52</f>
        <v>0</v>
      </c>
      <c r="G52" s="52"/>
      <c r="H52" s="59"/>
      <c r="I52" s="59"/>
    </row>
    <row r="53" spans="2:9" ht="111.6" customHeight="1">
      <c r="B53" s="46" t="s">
        <v>74</v>
      </c>
      <c r="C53" s="47" t="s">
        <v>75</v>
      </c>
      <c r="D53" s="9"/>
      <c r="E53" s="52">
        <f>'POP 2019'!E53</f>
        <v>0</v>
      </c>
      <c r="F53" s="52">
        <f>'POP 2020'!F53</f>
        <v>0</v>
      </c>
      <c r="G53" s="52"/>
      <c r="H53" s="59"/>
      <c r="I53" s="59"/>
    </row>
    <row r="54" spans="2:9" ht="147.6" customHeight="1">
      <c r="B54" s="46" t="s">
        <v>76</v>
      </c>
      <c r="C54" s="47" t="s">
        <v>77</v>
      </c>
      <c r="D54" s="9"/>
      <c r="E54" s="52">
        <f>'POP 2019'!E54</f>
        <v>0</v>
      </c>
      <c r="F54" s="52">
        <f>'POP 2020'!F54</f>
        <v>0</v>
      </c>
      <c r="G54" s="52"/>
      <c r="H54" s="59"/>
      <c r="I54" s="59"/>
    </row>
    <row r="55" spans="2:9" ht="192" customHeight="1">
      <c r="B55" s="46" t="s">
        <v>78</v>
      </c>
      <c r="C55" s="47" t="s">
        <v>79</v>
      </c>
      <c r="D55" s="9"/>
      <c r="E55" s="52">
        <f>'POP 2019'!E55</f>
        <v>0</v>
      </c>
      <c r="F55" s="52">
        <f>'POP 2020'!F55</f>
        <v>0</v>
      </c>
      <c r="G55" s="52"/>
      <c r="H55" s="59"/>
      <c r="I55" s="59"/>
    </row>
    <row r="56" spans="2:9" ht="160.9" customHeight="1">
      <c r="B56" s="46" t="s">
        <v>80</v>
      </c>
      <c r="C56" s="47" t="s">
        <v>81</v>
      </c>
      <c r="D56" s="9"/>
      <c r="E56" s="52">
        <f>'POP 2019'!E56</f>
        <v>0</v>
      </c>
      <c r="F56" s="52">
        <f>'POP 2020'!F56</f>
        <v>0</v>
      </c>
      <c r="G56" s="52"/>
      <c r="H56" s="59"/>
      <c r="I56" s="59"/>
    </row>
    <row r="57" spans="2:9" ht="124.9" customHeight="1">
      <c r="B57" s="46" t="s">
        <v>82</v>
      </c>
      <c r="C57" s="47" t="s">
        <v>83</v>
      </c>
      <c r="D57" s="9"/>
      <c r="E57" s="52">
        <f>'POP 2019'!E57</f>
        <v>0</v>
      </c>
      <c r="F57" s="52">
        <f>'POP 2020'!F57</f>
        <v>0</v>
      </c>
      <c r="G57" s="52"/>
      <c r="H57" s="59"/>
      <c r="I57" s="59"/>
    </row>
    <row r="58" spans="2:9" ht="207" customHeight="1">
      <c r="B58" s="46" t="s">
        <v>84</v>
      </c>
      <c r="C58" s="47" t="s">
        <v>85</v>
      </c>
      <c r="D58" s="9"/>
      <c r="E58" s="52">
        <f>'POP 2019'!E58</f>
        <v>0</v>
      </c>
      <c r="F58" s="52">
        <f>'POP 2020'!F58</f>
        <v>0</v>
      </c>
      <c r="G58" s="52"/>
      <c r="H58" s="59"/>
      <c r="I58" s="59"/>
    </row>
    <row r="59" spans="2:9" ht="48.6" customHeight="1">
      <c r="B59" s="46" t="s">
        <v>86</v>
      </c>
      <c r="C59" s="47" t="s">
        <v>87</v>
      </c>
      <c r="D59" s="9"/>
      <c r="E59" s="52">
        <f>'POP 2019'!E59</f>
        <v>0</v>
      </c>
      <c r="F59" s="52">
        <f>'POP 2020'!F59</f>
        <v>0</v>
      </c>
      <c r="G59" s="52"/>
      <c r="H59" s="59"/>
      <c r="I59" s="59"/>
    </row>
    <row r="60" spans="2:9" ht="81.599999999999994" customHeight="1">
      <c r="B60" s="46" t="s">
        <v>88</v>
      </c>
      <c r="C60" s="47" t="s">
        <v>89</v>
      </c>
      <c r="D60" s="9"/>
      <c r="E60" s="52">
        <f>'POP 2019'!E60</f>
        <v>0</v>
      </c>
      <c r="F60" s="52">
        <f>'POP 2020'!F60</f>
        <v>0</v>
      </c>
      <c r="G60" s="52"/>
      <c r="H60" s="59"/>
      <c r="I60" s="59"/>
    </row>
    <row r="61" spans="2:9" ht="157.9" customHeight="1">
      <c r="B61" s="46" t="s">
        <v>90</v>
      </c>
      <c r="C61" s="47" t="s">
        <v>267</v>
      </c>
      <c r="D61" s="9"/>
      <c r="E61" s="52">
        <f>'POP 2019'!E61</f>
        <v>0</v>
      </c>
      <c r="F61" s="52">
        <f>'POP 2020'!F61</f>
        <v>0</v>
      </c>
      <c r="G61" s="52"/>
      <c r="H61" s="59"/>
      <c r="I61" s="59"/>
    </row>
    <row r="62" spans="2:9">
      <c r="C62" s="34" t="s">
        <v>91</v>
      </c>
      <c r="D62" s="11"/>
      <c r="E62" s="11"/>
      <c r="F62" s="11"/>
      <c r="G62" s="11"/>
      <c r="H62" s="11"/>
      <c r="I62" s="11"/>
    </row>
    <row r="63" spans="2:9">
      <c r="B63" s="32"/>
      <c r="C63" s="33"/>
      <c r="D63" s="11"/>
      <c r="E63" s="11"/>
      <c r="F63" s="11"/>
      <c r="G63" s="11"/>
      <c r="H63" s="11"/>
      <c r="I63" s="11"/>
    </row>
    <row r="64" spans="2:9">
      <c r="B64" s="32"/>
      <c r="C64" s="33"/>
      <c r="D64" s="11"/>
      <c r="E64" s="11"/>
      <c r="F64" s="11"/>
      <c r="G64" s="11"/>
      <c r="H64" s="11"/>
      <c r="I64" s="11"/>
    </row>
    <row r="65" spans="1:9">
      <c r="B65" s="32"/>
      <c r="C65" s="33"/>
      <c r="D65" s="11"/>
      <c r="E65" s="11"/>
      <c r="F65" s="11"/>
      <c r="G65" s="11"/>
      <c r="H65" s="11"/>
      <c r="I65" s="11"/>
    </row>
    <row r="66" spans="1:9">
      <c r="B66" s="32"/>
      <c r="C66" s="33"/>
      <c r="D66" s="11"/>
      <c r="E66" s="11"/>
      <c r="F66" s="11"/>
      <c r="G66" s="11"/>
      <c r="H66" s="11"/>
      <c r="I66" s="11"/>
    </row>
    <row r="67" spans="1:9">
      <c r="B67" s="32"/>
      <c r="C67" s="33"/>
      <c r="D67" s="11"/>
      <c r="E67" s="11"/>
      <c r="F67" s="11"/>
      <c r="G67" s="11"/>
      <c r="H67" s="11"/>
      <c r="I67" s="11"/>
    </row>
    <row r="68" spans="1:9">
      <c r="B68" s="32"/>
      <c r="C68" s="33"/>
      <c r="D68" s="11"/>
      <c r="E68" s="11"/>
      <c r="F68" s="11"/>
      <c r="G68" s="11"/>
      <c r="H68" s="11"/>
      <c r="I68" s="11"/>
    </row>
    <row r="69" spans="1:9">
      <c r="B69" s="32"/>
      <c r="C69" s="33"/>
      <c r="D69" s="11"/>
      <c r="E69" s="11"/>
      <c r="F69" s="11"/>
      <c r="G69" s="11"/>
      <c r="H69" s="11"/>
      <c r="I69" s="11"/>
    </row>
    <row r="70" spans="1:9">
      <c r="B70" s="32"/>
      <c r="C70" s="33"/>
      <c r="D70" s="11"/>
      <c r="E70" s="11"/>
      <c r="F70" s="11"/>
      <c r="G70" s="11"/>
      <c r="H70" s="11"/>
      <c r="I70" s="11"/>
    </row>
    <row r="71" spans="1:9">
      <c r="B71" s="32"/>
      <c r="C71" s="33"/>
      <c r="D71" s="11"/>
      <c r="E71" s="11"/>
      <c r="F71" s="11"/>
      <c r="G71" s="11"/>
      <c r="H71" s="11"/>
      <c r="I71" s="11"/>
    </row>
    <row r="72" spans="1:9">
      <c r="B72" s="32"/>
      <c r="C72" s="33"/>
      <c r="D72" s="11"/>
      <c r="E72" s="11"/>
      <c r="F72" s="11"/>
      <c r="G72" s="11"/>
      <c r="H72" s="11"/>
      <c r="I72" s="11"/>
    </row>
    <row r="73" spans="1:9">
      <c r="B73" s="32"/>
      <c r="C73" s="33"/>
      <c r="D73" s="11"/>
      <c r="E73" s="11"/>
      <c r="F73" s="11"/>
      <c r="G73" s="11"/>
      <c r="H73" s="11"/>
      <c r="I73" s="11"/>
    </row>
    <row r="74" spans="1:9">
      <c r="B74" s="37"/>
      <c r="C74" s="37"/>
      <c r="E74" s="105" t="s">
        <v>68</v>
      </c>
      <c r="F74" s="105"/>
      <c r="G74" s="105"/>
      <c r="H74" s="105"/>
      <c r="I74" s="105"/>
    </row>
    <row r="75" spans="1:9">
      <c r="E75" s="106" t="s">
        <v>69</v>
      </c>
      <c r="F75" s="106"/>
      <c r="G75" s="106"/>
      <c r="H75" s="106"/>
      <c r="I75" s="106"/>
    </row>
    <row r="76" spans="1:9">
      <c r="A76" s="42" t="s">
        <v>92</v>
      </c>
      <c r="B76" s="38" t="s">
        <v>91</v>
      </c>
      <c r="C76" s="38" t="s">
        <v>71</v>
      </c>
      <c r="D76" s="41" t="s">
        <v>93</v>
      </c>
      <c r="E76" s="39" t="s">
        <v>94</v>
      </c>
      <c r="F76" s="39" t="s">
        <v>95</v>
      </c>
      <c r="G76" s="39" t="s">
        <v>96</v>
      </c>
      <c r="H76" s="39" t="s">
        <v>97</v>
      </c>
      <c r="I76" s="40" t="s">
        <v>98</v>
      </c>
    </row>
    <row r="77" spans="1:9" ht="43.15">
      <c r="A77" s="82" t="s">
        <v>99</v>
      </c>
      <c r="B77" s="67" t="s">
        <v>100</v>
      </c>
      <c r="C77" s="80" t="s">
        <v>101</v>
      </c>
      <c r="D77" s="36"/>
      <c r="E77" s="53" t="e">
        <f>Tabel4[[#This Row],[20192]]</f>
        <v>#VALUE!</v>
      </c>
      <c r="F77" s="53" t="e">
        <f>Tabel42[[#This Row],[20202]]</f>
        <v>#VALUE!</v>
      </c>
      <c r="G77" s="53"/>
      <c r="H77" s="56"/>
      <c r="I77" s="56"/>
    </row>
    <row r="78" spans="1:9" ht="43.15">
      <c r="A78" s="82" t="s">
        <v>99</v>
      </c>
      <c r="B78" s="67" t="s">
        <v>102</v>
      </c>
      <c r="C78" s="80" t="s">
        <v>103</v>
      </c>
      <c r="D78" s="36"/>
      <c r="E78" s="53">
        <f>Tabel4[[#This Row],[20192]]</f>
        <v>0</v>
      </c>
      <c r="F78" s="53">
        <f>Tabel42[[#This Row],[20202]]</f>
        <v>0</v>
      </c>
      <c r="G78" s="53"/>
      <c r="H78" s="56"/>
      <c r="I78" s="56"/>
    </row>
    <row r="79" spans="1:9" ht="43.15">
      <c r="A79" s="82" t="s">
        <v>99</v>
      </c>
      <c r="B79" s="67" t="s">
        <v>104</v>
      </c>
      <c r="C79" s="80" t="s">
        <v>105</v>
      </c>
      <c r="D79" s="36"/>
      <c r="E79" s="53">
        <f>Tabel4[[#This Row],[20192]]</f>
        <v>0</v>
      </c>
      <c r="F79" s="53">
        <f>Tabel42[[#This Row],[20202]]</f>
        <v>0</v>
      </c>
      <c r="G79" s="53"/>
      <c r="H79" s="56"/>
      <c r="I79" s="56"/>
    </row>
    <row r="80" spans="1:9" ht="28.9">
      <c r="A80" s="82" t="s">
        <v>99</v>
      </c>
      <c r="B80" s="67" t="s">
        <v>106</v>
      </c>
      <c r="C80" s="80" t="s">
        <v>107</v>
      </c>
      <c r="D80" s="36"/>
      <c r="E80" s="53">
        <f>Tabel4[[#This Row],[20192]]</f>
        <v>0</v>
      </c>
      <c r="F80" s="53">
        <f>Tabel42[[#This Row],[20202]]</f>
        <v>0</v>
      </c>
      <c r="G80" s="53"/>
      <c r="H80" s="56"/>
      <c r="I80" s="56"/>
    </row>
    <row r="81" spans="1:9" ht="57.6">
      <c r="A81" s="82" t="s">
        <v>99</v>
      </c>
      <c r="B81" s="67" t="s">
        <v>108</v>
      </c>
      <c r="C81" s="80" t="s">
        <v>109</v>
      </c>
      <c r="D81" s="36"/>
      <c r="E81" s="53">
        <f>Tabel4[[#This Row],[20192]]</f>
        <v>0</v>
      </c>
      <c r="F81" s="53">
        <f>Tabel42[[#This Row],[20202]]</f>
        <v>0</v>
      </c>
      <c r="G81" s="53"/>
      <c r="H81" s="56"/>
      <c r="I81" s="56"/>
    </row>
    <row r="82" spans="1:9" ht="57.6">
      <c r="A82" s="82" t="s">
        <v>99</v>
      </c>
      <c r="B82" s="67" t="s">
        <v>110</v>
      </c>
      <c r="C82" s="80" t="s">
        <v>111</v>
      </c>
      <c r="D82" s="36"/>
      <c r="E82" s="53">
        <f>Tabel4[[#This Row],[20192]]</f>
        <v>0</v>
      </c>
      <c r="F82" s="53">
        <f>Tabel42[[#This Row],[20202]]</f>
        <v>0</v>
      </c>
      <c r="G82" s="53"/>
      <c r="H82" s="56"/>
      <c r="I82" s="56"/>
    </row>
    <row r="83" spans="1:9" ht="28.9">
      <c r="A83" s="82" t="s">
        <v>99</v>
      </c>
      <c r="B83" s="67" t="s">
        <v>112</v>
      </c>
      <c r="C83" s="80" t="s">
        <v>113</v>
      </c>
      <c r="D83" s="36"/>
      <c r="E83" s="53">
        <f>Tabel4[[#This Row],[20192]]</f>
        <v>0</v>
      </c>
      <c r="F83" s="53">
        <f>Tabel42[[#This Row],[20202]]</f>
        <v>0</v>
      </c>
      <c r="G83" s="53"/>
      <c r="H83" s="56"/>
      <c r="I83" s="56"/>
    </row>
    <row r="84" spans="1:9" ht="57.6">
      <c r="A84" s="82" t="s">
        <v>99</v>
      </c>
      <c r="B84" s="67" t="s">
        <v>114</v>
      </c>
      <c r="C84" s="80" t="s">
        <v>115</v>
      </c>
      <c r="D84" s="36"/>
      <c r="E84" s="53">
        <f>Tabel4[[#This Row],[20192]]</f>
        <v>0</v>
      </c>
      <c r="F84" s="53">
        <f>Tabel42[[#This Row],[20202]]</f>
        <v>0</v>
      </c>
      <c r="G84" s="53"/>
      <c r="H84" s="56"/>
      <c r="I84" s="56"/>
    </row>
    <row r="85" spans="1:9" ht="28.9">
      <c r="A85" s="82" t="s">
        <v>99</v>
      </c>
      <c r="B85" s="67" t="s">
        <v>116</v>
      </c>
      <c r="C85" s="81" t="s">
        <v>117</v>
      </c>
      <c r="D85" s="36"/>
      <c r="E85" s="53">
        <f>Tabel4[[#This Row],[20192]]</f>
        <v>0</v>
      </c>
      <c r="F85" s="53">
        <f>Tabel42[[#This Row],[20202]]</f>
        <v>0</v>
      </c>
      <c r="G85" s="53"/>
      <c r="H85" s="56"/>
      <c r="I85" s="56"/>
    </row>
    <row r="86" spans="1:9" ht="28.9">
      <c r="A86" s="82" t="s">
        <v>99</v>
      </c>
      <c r="B86" s="67" t="s">
        <v>118</v>
      </c>
      <c r="C86" s="81" t="s">
        <v>119</v>
      </c>
      <c r="D86" s="36"/>
      <c r="E86" s="53">
        <f>Tabel4[[#This Row],[20192]]</f>
        <v>0</v>
      </c>
      <c r="F86" s="53">
        <f>Tabel42[[#This Row],[20202]]</f>
        <v>0</v>
      </c>
      <c r="G86" s="53"/>
      <c r="H86" s="56"/>
      <c r="I86" s="56"/>
    </row>
    <row r="87" spans="1:9" ht="115.15">
      <c r="A87" s="82" t="s">
        <v>99</v>
      </c>
      <c r="B87" s="67" t="s">
        <v>120</v>
      </c>
      <c r="C87" s="80" t="s">
        <v>121</v>
      </c>
      <c r="D87" s="36"/>
      <c r="E87" s="53">
        <f>Tabel4[[#This Row],[20192]]</f>
        <v>0</v>
      </c>
      <c r="F87" s="53">
        <f>Tabel42[[#This Row],[20202]]</f>
        <v>0</v>
      </c>
      <c r="G87" s="53"/>
      <c r="H87" s="56"/>
      <c r="I87" s="56"/>
    </row>
    <row r="88" spans="1:9" ht="57.6">
      <c r="A88" s="82" t="s">
        <v>99</v>
      </c>
      <c r="B88" s="67" t="s">
        <v>122</v>
      </c>
      <c r="C88" s="80" t="s">
        <v>123</v>
      </c>
      <c r="D88" s="36"/>
      <c r="E88" s="53">
        <f>Tabel4[[#This Row],[20192]]</f>
        <v>0</v>
      </c>
      <c r="F88" s="53">
        <f>Tabel42[[#This Row],[20202]]</f>
        <v>0</v>
      </c>
      <c r="G88" s="53"/>
      <c r="H88" s="56"/>
      <c r="I88" s="56"/>
    </row>
    <row r="89" spans="1:9" ht="43.15">
      <c r="A89" s="82" t="s">
        <v>99</v>
      </c>
      <c r="B89" s="67" t="s">
        <v>124</v>
      </c>
      <c r="C89" s="80" t="s">
        <v>125</v>
      </c>
      <c r="D89" s="36"/>
      <c r="E89" s="53">
        <f>Tabel4[[#This Row],[20192]]</f>
        <v>0</v>
      </c>
      <c r="F89" s="53">
        <f>Tabel42[[#This Row],[20202]]</f>
        <v>0</v>
      </c>
      <c r="G89" s="53"/>
      <c r="H89" s="56"/>
      <c r="I89" s="56"/>
    </row>
    <row r="90" spans="1:9" ht="72">
      <c r="A90" s="82" t="s">
        <v>126</v>
      </c>
      <c r="B90" s="67" t="s">
        <v>127</v>
      </c>
      <c r="C90" s="80" t="s">
        <v>128</v>
      </c>
      <c r="D90" s="36"/>
      <c r="E90" s="53">
        <f>Tabel4[[#This Row],[20192]]</f>
        <v>0</v>
      </c>
      <c r="F90" s="53">
        <f>Tabel42[[#This Row],[20202]]</f>
        <v>0</v>
      </c>
      <c r="G90" s="53"/>
      <c r="H90" s="56"/>
      <c r="I90" s="56"/>
    </row>
    <row r="91" spans="1:9" ht="43.15">
      <c r="A91" s="82" t="s">
        <v>126</v>
      </c>
      <c r="B91" s="67" t="s">
        <v>129</v>
      </c>
      <c r="C91" s="80" t="s">
        <v>130</v>
      </c>
      <c r="D91" s="36"/>
      <c r="E91" s="53">
        <f>Tabel4[[#This Row],[20192]]</f>
        <v>0</v>
      </c>
      <c r="F91" s="53">
        <f>Tabel42[[#This Row],[20202]]</f>
        <v>0</v>
      </c>
      <c r="G91" s="53"/>
      <c r="H91" s="56"/>
      <c r="I91" s="56"/>
    </row>
    <row r="92" spans="1:9" ht="86.45">
      <c r="A92" s="82" t="s">
        <v>126</v>
      </c>
      <c r="B92" s="67" t="s">
        <v>131</v>
      </c>
      <c r="C92" s="80" t="s">
        <v>132</v>
      </c>
      <c r="D92" s="36"/>
      <c r="E92" s="53">
        <f>Tabel4[[#This Row],[20192]]</f>
        <v>0</v>
      </c>
      <c r="F92" s="53">
        <f>Tabel42[[#This Row],[20202]]</f>
        <v>0</v>
      </c>
      <c r="G92" s="53"/>
      <c r="H92" s="56"/>
      <c r="I92" s="56"/>
    </row>
    <row r="93" spans="1:9" ht="28.9">
      <c r="A93" s="82" t="s">
        <v>126</v>
      </c>
      <c r="B93" s="67" t="s">
        <v>133</v>
      </c>
      <c r="C93" s="80" t="s">
        <v>134</v>
      </c>
      <c r="D93" s="36"/>
      <c r="E93" s="53">
        <f>Tabel4[[#This Row],[20192]]</f>
        <v>0</v>
      </c>
      <c r="F93" s="53">
        <f>Tabel42[[#This Row],[20202]]</f>
        <v>0</v>
      </c>
      <c r="G93" s="53"/>
      <c r="H93" s="56"/>
      <c r="I93" s="56"/>
    </row>
    <row r="94" spans="1:9" ht="129.6">
      <c r="A94" s="82" t="s">
        <v>126</v>
      </c>
      <c r="B94" s="67" t="s">
        <v>135</v>
      </c>
      <c r="C94" s="80" t="s">
        <v>136</v>
      </c>
      <c r="D94" s="36"/>
      <c r="E94" s="53">
        <f>Tabel4[[#This Row],[20192]]</f>
        <v>0</v>
      </c>
      <c r="F94" s="53">
        <f>Tabel42[[#This Row],[20202]]</f>
        <v>0</v>
      </c>
      <c r="G94" s="53"/>
      <c r="H94" s="56"/>
      <c r="I94" s="56"/>
    </row>
    <row r="95" spans="1:9" ht="86.45">
      <c r="A95" s="82" t="s">
        <v>126</v>
      </c>
      <c r="B95" s="67" t="s">
        <v>137</v>
      </c>
      <c r="C95" s="80" t="s">
        <v>138</v>
      </c>
      <c r="D95" s="36"/>
      <c r="E95" s="53">
        <f>Tabel4[[#This Row],[20192]]</f>
        <v>0</v>
      </c>
      <c r="F95" s="53">
        <f>Tabel42[[#This Row],[20202]]</f>
        <v>0</v>
      </c>
      <c r="G95" s="53"/>
      <c r="H95" s="56"/>
      <c r="I95" s="56"/>
    </row>
    <row r="96" spans="1:9" ht="57.6">
      <c r="A96" s="82" t="s">
        <v>126</v>
      </c>
      <c r="B96" s="67" t="s">
        <v>139</v>
      </c>
      <c r="C96" s="80" t="s">
        <v>140</v>
      </c>
      <c r="D96" s="36"/>
      <c r="E96" s="53">
        <f>Tabel4[[#This Row],[20192]]</f>
        <v>0</v>
      </c>
      <c r="F96" s="53">
        <f>Tabel42[[#This Row],[20202]]</f>
        <v>0</v>
      </c>
      <c r="G96" s="53"/>
      <c r="H96" s="56"/>
      <c r="I96" s="56"/>
    </row>
    <row r="97" spans="1:9" ht="57.6">
      <c r="A97" s="82" t="s">
        <v>141</v>
      </c>
      <c r="B97" s="67" t="s">
        <v>127</v>
      </c>
      <c r="C97" s="80" t="s">
        <v>142</v>
      </c>
      <c r="D97" s="36"/>
      <c r="E97" s="53">
        <f>Tabel4[[#This Row],[20192]]</f>
        <v>0</v>
      </c>
      <c r="F97" s="53">
        <f>Tabel42[[#This Row],[20202]]</f>
        <v>0</v>
      </c>
      <c r="G97" s="53"/>
      <c r="H97" s="56"/>
      <c r="I97" s="56"/>
    </row>
    <row r="98" spans="1:9" ht="28.9">
      <c r="A98" s="82" t="s">
        <v>141</v>
      </c>
      <c r="B98" s="67" t="s">
        <v>143</v>
      </c>
      <c r="C98" s="80" t="s">
        <v>144</v>
      </c>
      <c r="D98" s="36"/>
      <c r="E98" s="53">
        <f>Tabel4[[#This Row],[20192]]</f>
        <v>0</v>
      </c>
      <c r="F98" s="53">
        <f>Tabel42[[#This Row],[20202]]</f>
        <v>0</v>
      </c>
      <c r="G98" s="53"/>
      <c r="H98" s="56"/>
      <c r="I98" s="56"/>
    </row>
    <row r="99" spans="1:9" ht="57.6">
      <c r="A99" s="82" t="s">
        <v>141</v>
      </c>
      <c r="B99" s="67" t="s">
        <v>145</v>
      </c>
      <c r="C99" s="81" t="s">
        <v>268</v>
      </c>
      <c r="D99" s="36"/>
      <c r="E99" s="53">
        <f>Tabel4[[#This Row],[20192]]</f>
        <v>0</v>
      </c>
      <c r="F99" s="53">
        <f>Tabel42[[#This Row],[20202]]</f>
        <v>0</v>
      </c>
      <c r="G99" s="53"/>
      <c r="H99" s="56"/>
      <c r="I99" s="56"/>
    </row>
    <row r="100" spans="1:9" ht="43.15">
      <c r="A100" s="82" t="s">
        <v>141</v>
      </c>
      <c r="B100" s="67" t="s">
        <v>133</v>
      </c>
      <c r="C100" s="81" t="s">
        <v>269</v>
      </c>
      <c r="D100" s="36"/>
      <c r="E100" s="53">
        <f>Tabel4[[#This Row],[20192]]</f>
        <v>0</v>
      </c>
      <c r="F100" s="53">
        <f>Tabel42[[#This Row],[20202]]</f>
        <v>0</v>
      </c>
      <c r="G100" s="53"/>
      <c r="H100" s="56"/>
      <c r="I100" s="56"/>
    </row>
    <row r="101" spans="1:9" ht="28.9">
      <c r="A101" s="82" t="s">
        <v>141</v>
      </c>
      <c r="B101" s="67" t="s">
        <v>148</v>
      </c>
      <c r="C101" s="80" t="s">
        <v>149</v>
      </c>
      <c r="D101" s="36"/>
      <c r="E101" s="53">
        <f>Tabel4[[#This Row],[20192]]</f>
        <v>0</v>
      </c>
      <c r="F101" s="53">
        <f>Tabel42[[#This Row],[20202]]</f>
        <v>0</v>
      </c>
      <c r="G101" s="53"/>
      <c r="H101" s="56"/>
      <c r="I101" s="56"/>
    </row>
    <row r="102" spans="1:9" ht="43.15">
      <c r="A102" s="82" t="s">
        <v>141</v>
      </c>
      <c r="B102" s="67" t="s">
        <v>150</v>
      </c>
      <c r="C102" s="81" t="s">
        <v>270</v>
      </c>
      <c r="D102" s="36"/>
      <c r="E102" s="53">
        <f>Tabel4[[#This Row],[20192]]</f>
        <v>0</v>
      </c>
      <c r="F102" s="53">
        <f>Tabel42[[#This Row],[20202]]</f>
        <v>0</v>
      </c>
      <c r="G102" s="53"/>
      <c r="H102" s="56"/>
      <c r="I102" s="56"/>
    </row>
    <row r="103" spans="1:9" ht="144">
      <c r="A103" s="82" t="s">
        <v>141</v>
      </c>
      <c r="B103" s="67" t="s">
        <v>153</v>
      </c>
      <c r="C103" s="80" t="s">
        <v>154</v>
      </c>
      <c r="D103" s="36"/>
      <c r="E103" s="53" t="str">
        <f>Tabel4[[#This Row],[20192]]</f>
        <v>nvt</v>
      </c>
      <c r="F103" s="53">
        <f>Tabel42[[#This Row],[20202]]</f>
        <v>0</v>
      </c>
      <c r="G103" s="53"/>
      <c r="H103" s="56"/>
      <c r="I103" s="56"/>
    </row>
    <row r="104" spans="1:9" ht="28.9">
      <c r="A104" s="82" t="s">
        <v>141</v>
      </c>
      <c r="B104" s="67" t="s">
        <v>155</v>
      </c>
      <c r="C104" s="80" t="s">
        <v>156</v>
      </c>
      <c r="D104" s="36"/>
      <c r="E104" s="53" t="str">
        <f>Tabel4[[#This Row],[20192]]</f>
        <v>nvt</v>
      </c>
      <c r="F104" s="53">
        <f>Tabel42[[#This Row],[20202]]</f>
        <v>0</v>
      </c>
      <c r="G104" s="53" t="s">
        <v>152</v>
      </c>
      <c r="H104" s="56"/>
      <c r="I104" s="56"/>
    </row>
    <row r="105" spans="1:9" ht="28.9">
      <c r="A105" s="82" t="s">
        <v>157</v>
      </c>
      <c r="B105" s="67" t="s">
        <v>158</v>
      </c>
      <c r="C105" s="80" t="s">
        <v>159</v>
      </c>
      <c r="D105" s="36"/>
      <c r="E105" s="53" t="str">
        <f>Tabel4[[#This Row],[20192]]</f>
        <v>nvt</v>
      </c>
      <c r="F105" s="53">
        <f>Tabel42[[#This Row],[20202]]</f>
        <v>0</v>
      </c>
      <c r="G105" s="53"/>
      <c r="H105" s="56"/>
      <c r="I105" s="56"/>
    </row>
    <row r="106" spans="1:9" ht="43.15">
      <c r="A106" s="82" t="s">
        <v>157</v>
      </c>
      <c r="B106" s="67" t="s">
        <v>160</v>
      </c>
      <c r="C106" s="80" t="s">
        <v>161</v>
      </c>
      <c r="D106" s="36"/>
      <c r="E106" s="53">
        <f>Tabel4[[#This Row],[20192]]</f>
        <v>0</v>
      </c>
      <c r="F106" s="53">
        <f>Tabel42[[#This Row],[20202]]</f>
        <v>0</v>
      </c>
      <c r="G106" s="53"/>
      <c r="H106" s="56"/>
      <c r="I106" s="56"/>
    </row>
    <row r="107" spans="1:9" ht="43.15">
      <c r="A107" s="82" t="s">
        <v>157</v>
      </c>
      <c r="B107" s="67" t="s">
        <v>162</v>
      </c>
      <c r="C107" s="80" t="s">
        <v>163</v>
      </c>
      <c r="D107" s="36"/>
      <c r="E107" s="53">
        <f>Tabel4[[#This Row],[20192]]</f>
        <v>0</v>
      </c>
      <c r="F107" s="53">
        <f>Tabel42[[#This Row],[20202]]</f>
        <v>0</v>
      </c>
      <c r="G107" s="53"/>
      <c r="H107" s="56"/>
      <c r="I107" s="56"/>
    </row>
    <row r="108" spans="1:9" ht="28.9">
      <c r="A108" s="82" t="s">
        <v>157</v>
      </c>
      <c r="B108" s="67" t="s">
        <v>164</v>
      </c>
      <c r="C108" s="80" t="s">
        <v>165</v>
      </c>
      <c r="D108" s="36"/>
      <c r="E108" s="53">
        <f>Tabel4[[#This Row],[20192]]</f>
        <v>0</v>
      </c>
      <c r="F108" s="53">
        <f>Tabel42[[#This Row],[20202]]</f>
        <v>0</v>
      </c>
      <c r="G108" s="53"/>
      <c r="H108" s="56"/>
      <c r="I108" s="56"/>
    </row>
    <row r="109" spans="1:9" ht="57.6">
      <c r="A109" s="82" t="s">
        <v>157</v>
      </c>
      <c r="B109" s="67" t="s">
        <v>166</v>
      </c>
      <c r="C109" s="80" t="s">
        <v>167</v>
      </c>
      <c r="D109" s="36"/>
      <c r="E109" s="53">
        <f>Tabel4[[#This Row],[20192]]</f>
        <v>0</v>
      </c>
      <c r="F109" s="53">
        <f>Tabel42[[#This Row],[20202]]</f>
        <v>0</v>
      </c>
      <c r="G109" s="53"/>
      <c r="H109" s="56"/>
      <c r="I109" s="56"/>
    </row>
    <row r="110" spans="1:9" ht="57.6">
      <c r="A110" s="82" t="s">
        <v>157</v>
      </c>
      <c r="B110" s="67" t="s">
        <v>168</v>
      </c>
      <c r="C110" s="80" t="s">
        <v>169</v>
      </c>
      <c r="D110" s="36"/>
      <c r="E110" s="53">
        <f>Tabel4[[#This Row],[20192]]</f>
        <v>0</v>
      </c>
      <c r="F110" s="53">
        <f>Tabel42[[#This Row],[20202]]</f>
        <v>0</v>
      </c>
      <c r="G110" s="53"/>
      <c r="H110" s="56"/>
      <c r="I110" s="56"/>
    </row>
    <row r="111" spans="1:9" ht="115.15">
      <c r="A111" s="82" t="s">
        <v>157</v>
      </c>
      <c r="B111" s="67" t="s">
        <v>120</v>
      </c>
      <c r="C111" s="80" t="s">
        <v>121</v>
      </c>
      <c r="D111" s="36"/>
      <c r="E111" s="53">
        <f>Tabel4[[#This Row],[20192]]</f>
        <v>0</v>
      </c>
      <c r="F111" s="53">
        <f>Tabel42[[#This Row],[20202]]</f>
        <v>0</v>
      </c>
      <c r="G111" s="53"/>
      <c r="H111" s="56"/>
      <c r="I111" s="56"/>
    </row>
    <row r="112" spans="1:9" ht="57.6">
      <c r="A112" s="82" t="s">
        <v>157</v>
      </c>
      <c r="B112" s="67" t="s">
        <v>122</v>
      </c>
      <c r="C112" s="80" t="s">
        <v>123</v>
      </c>
      <c r="D112" s="36"/>
      <c r="E112" s="53">
        <f>Tabel4[[#This Row],[20192]]</f>
        <v>0</v>
      </c>
      <c r="F112" s="53">
        <f>Tabel42[[#This Row],[20202]]</f>
        <v>0</v>
      </c>
      <c r="G112" s="53"/>
      <c r="H112" s="56"/>
      <c r="I112" s="56"/>
    </row>
    <row r="113" spans="1:9" ht="43.15">
      <c r="A113" s="82" t="s">
        <v>157</v>
      </c>
      <c r="B113" s="67" t="s">
        <v>124</v>
      </c>
      <c r="C113" s="80" t="s">
        <v>125</v>
      </c>
      <c r="D113" s="36"/>
      <c r="E113" s="53">
        <f>Tabel4[[#This Row],[20192]]</f>
        <v>0</v>
      </c>
      <c r="F113" s="53">
        <f>Tabel42[[#This Row],[20202]]</f>
        <v>0</v>
      </c>
      <c r="G113" s="53"/>
      <c r="H113" s="56"/>
      <c r="I113" s="56"/>
    </row>
    <row r="114" spans="1:9" ht="57.6">
      <c r="A114" s="82" t="s">
        <v>170</v>
      </c>
      <c r="B114" s="67" t="s">
        <v>171</v>
      </c>
      <c r="C114" s="80" t="s">
        <v>172</v>
      </c>
      <c r="D114" s="36"/>
      <c r="E114" s="53">
        <f>Tabel4[[#This Row],[20192]]</f>
        <v>0</v>
      </c>
      <c r="F114" s="53">
        <f>Tabel42[[#This Row],[20202]]</f>
        <v>0</v>
      </c>
      <c r="G114" s="53"/>
      <c r="H114" s="56"/>
      <c r="I114" s="56"/>
    </row>
    <row r="115" spans="1:9" ht="57.6">
      <c r="A115" s="82" t="s">
        <v>170</v>
      </c>
      <c r="B115" s="67" t="s">
        <v>168</v>
      </c>
      <c r="C115" s="80" t="s">
        <v>169</v>
      </c>
      <c r="D115" s="36"/>
      <c r="E115" s="53">
        <f>Tabel4[[#This Row],[20192]]</f>
        <v>0</v>
      </c>
      <c r="F115" s="53">
        <f>Tabel42[[#This Row],[20202]]</f>
        <v>0</v>
      </c>
      <c r="G115" s="53"/>
      <c r="H115" s="56"/>
      <c r="I115" s="56"/>
    </row>
    <row r="116" spans="1:9" ht="115.15">
      <c r="A116" s="82" t="s">
        <v>170</v>
      </c>
      <c r="B116" s="67" t="s">
        <v>120</v>
      </c>
      <c r="C116" s="80" t="s">
        <v>121</v>
      </c>
      <c r="D116" s="36"/>
      <c r="E116" s="53">
        <f>Tabel4[[#This Row],[20192]]</f>
        <v>0</v>
      </c>
      <c r="F116" s="53">
        <f>Tabel42[[#This Row],[20202]]</f>
        <v>0</v>
      </c>
      <c r="G116" s="53"/>
      <c r="H116" s="56"/>
      <c r="I116" s="56"/>
    </row>
    <row r="117" spans="1:9" ht="57.6">
      <c r="A117" s="82" t="s">
        <v>170</v>
      </c>
      <c r="B117" s="67" t="s">
        <v>122</v>
      </c>
      <c r="C117" s="80" t="s">
        <v>123</v>
      </c>
      <c r="D117" s="36"/>
      <c r="E117" s="53">
        <f>Tabel4[[#This Row],[20192]]</f>
        <v>0</v>
      </c>
      <c r="F117" s="53">
        <f>Tabel42[[#This Row],[20202]]</f>
        <v>0</v>
      </c>
      <c r="G117" s="53"/>
      <c r="H117" s="56"/>
      <c r="I117" s="56"/>
    </row>
    <row r="118" spans="1:9" ht="43.15">
      <c r="A118" s="82" t="s">
        <v>170</v>
      </c>
      <c r="B118" s="67" t="s">
        <v>124</v>
      </c>
      <c r="C118" s="80" t="s">
        <v>125</v>
      </c>
      <c r="D118" s="36"/>
      <c r="E118" s="53">
        <f>Tabel4[[#This Row],[20192]]</f>
        <v>0</v>
      </c>
      <c r="F118" s="53">
        <f>Tabel42[[#This Row],[20202]]</f>
        <v>0</v>
      </c>
      <c r="G118" s="53"/>
      <c r="H118" s="56"/>
      <c r="I118" s="56"/>
    </row>
    <row r="119" spans="1:9" ht="72">
      <c r="A119" s="82" t="s">
        <v>170</v>
      </c>
      <c r="B119" s="67" t="s">
        <v>164</v>
      </c>
      <c r="C119" s="80" t="s">
        <v>173</v>
      </c>
      <c r="D119" s="36"/>
      <c r="E119" s="53">
        <f>Tabel4[[#This Row],[20192]]</f>
        <v>0</v>
      </c>
      <c r="F119" s="53">
        <f>Tabel42[[#This Row],[20202]]</f>
        <v>0</v>
      </c>
      <c r="G119" s="53"/>
      <c r="H119" s="56"/>
      <c r="I119" s="56"/>
    </row>
    <row r="120" spans="1:9" ht="28.9">
      <c r="A120" s="82" t="s">
        <v>170</v>
      </c>
      <c r="B120" s="67" t="s">
        <v>174</v>
      </c>
      <c r="C120" s="80" t="s">
        <v>175</v>
      </c>
      <c r="D120" s="36"/>
      <c r="E120" s="53">
        <f>Tabel4[[#This Row],[20192]]</f>
        <v>0</v>
      </c>
      <c r="F120" s="53">
        <f>Tabel42[[#This Row],[20202]]</f>
        <v>0</v>
      </c>
      <c r="G120" s="53"/>
      <c r="H120" s="56"/>
      <c r="I120" s="56"/>
    </row>
    <row r="121" spans="1:9" ht="43.15">
      <c r="A121" s="82" t="s">
        <v>170</v>
      </c>
      <c r="B121" s="67" t="s">
        <v>176</v>
      </c>
      <c r="C121" s="80" t="s">
        <v>177</v>
      </c>
      <c r="D121" s="36"/>
      <c r="E121" s="53">
        <f>Tabel4[[#This Row],[20192]]</f>
        <v>0</v>
      </c>
      <c r="F121" s="53">
        <f>Tabel42[[#This Row],[20202]]</f>
        <v>0</v>
      </c>
      <c r="G121" s="53"/>
      <c r="H121" s="56"/>
      <c r="I121" s="56"/>
    </row>
    <row r="122" spans="1:9" ht="28.9">
      <c r="A122" s="82" t="s">
        <v>178</v>
      </c>
      <c r="B122" s="67" t="s">
        <v>179</v>
      </c>
      <c r="C122" s="80" t="s">
        <v>180</v>
      </c>
      <c r="D122" s="36"/>
      <c r="E122" s="53">
        <f>Tabel4[[#This Row],[20192]]</f>
        <v>0</v>
      </c>
      <c r="F122" s="53">
        <f>Tabel42[[#This Row],[20202]]</f>
        <v>0</v>
      </c>
      <c r="G122" s="53"/>
      <c r="H122" s="56"/>
      <c r="I122" s="56"/>
    </row>
    <row r="123" spans="1:9" ht="86.45">
      <c r="A123" s="82" t="s">
        <v>178</v>
      </c>
      <c r="B123" s="67" t="s">
        <v>181</v>
      </c>
      <c r="C123" s="80" t="s">
        <v>182</v>
      </c>
      <c r="D123" s="36"/>
      <c r="E123" s="53">
        <f>Tabel4[[#This Row],[20192]]</f>
        <v>0</v>
      </c>
      <c r="F123" s="53">
        <f>Tabel42[[#This Row],[20202]]</f>
        <v>0</v>
      </c>
      <c r="G123" s="53"/>
      <c r="H123" s="56"/>
      <c r="I123" s="56"/>
    </row>
    <row r="124" spans="1:9" ht="72">
      <c r="A124" s="82" t="s">
        <v>178</v>
      </c>
      <c r="B124" s="67" t="s">
        <v>183</v>
      </c>
      <c r="C124" s="80" t="s">
        <v>184</v>
      </c>
      <c r="D124" s="36"/>
      <c r="E124" s="53">
        <f>Tabel4[[#This Row],[20192]]</f>
        <v>0</v>
      </c>
      <c r="F124" s="53">
        <f>Tabel42[[#This Row],[20202]]</f>
        <v>0</v>
      </c>
      <c r="G124" s="53"/>
      <c r="H124" s="56"/>
      <c r="I124" s="56"/>
    </row>
    <row r="125" spans="1:9" ht="72">
      <c r="A125" s="82" t="s">
        <v>178</v>
      </c>
      <c r="B125" s="67" t="s">
        <v>185</v>
      </c>
      <c r="C125" s="80" t="s">
        <v>186</v>
      </c>
      <c r="D125" s="36"/>
      <c r="E125" s="53">
        <f>Tabel4[[#This Row],[20192]]</f>
        <v>0</v>
      </c>
      <c r="F125" s="53">
        <f>Tabel42[[#This Row],[20202]]</f>
        <v>0</v>
      </c>
      <c r="G125" s="53"/>
      <c r="H125" s="56"/>
      <c r="I125" s="56"/>
    </row>
    <row r="126" spans="1:9" ht="72">
      <c r="A126" s="82" t="s">
        <v>178</v>
      </c>
      <c r="B126" s="67" t="s">
        <v>187</v>
      </c>
      <c r="C126" s="80" t="s">
        <v>188</v>
      </c>
      <c r="D126" s="36"/>
      <c r="E126" s="53">
        <f>Tabel4[[#This Row],[20192]]</f>
        <v>0</v>
      </c>
      <c r="F126" s="53">
        <f>Tabel42[[#This Row],[20202]]</f>
        <v>0</v>
      </c>
      <c r="G126" s="53"/>
      <c r="H126" s="56"/>
      <c r="I126" s="56"/>
    </row>
    <row r="127" spans="1:9" ht="28.9">
      <c r="A127" s="82" t="s">
        <v>178</v>
      </c>
      <c r="B127" s="67" t="s">
        <v>189</v>
      </c>
      <c r="C127" s="80" t="s">
        <v>190</v>
      </c>
      <c r="D127" s="36"/>
      <c r="E127" s="53">
        <f>Tabel4[[#This Row],[20192]]</f>
        <v>0</v>
      </c>
      <c r="F127" s="53">
        <f>Tabel42[[#This Row],[20202]]</f>
        <v>0</v>
      </c>
      <c r="G127" s="53"/>
      <c r="H127" s="56"/>
      <c r="I127" s="56"/>
    </row>
    <row r="128" spans="1:9" ht="86.45">
      <c r="A128" s="82" t="s">
        <v>178</v>
      </c>
      <c r="B128" s="67" t="s">
        <v>191</v>
      </c>
      <c r="C128" s="80" t="s">
        <v>192</v>
      </c>
      <c r="D128" s="36"/>
      <c r="E128" s="53">
        <f>Tabel4[[#This Row],[20192]]</f>
        <v>0</v>
      </c>
      <c r="F128" s="53">
        <f>Tabel42[[#This Row],[20202]]</f>
        <v>0</v>
      </c>
      <c r="G128" s="53"/>
      <c r="H128" s="56"/>
      <c r="I128" s="56"/>
    </row>
    <row r="129" spans="1:9" ht="43.15">
      <c r="A129" s="82" t="s">
        <v>178</v>
      </c>
      <c r="B129" s="67" t="s">
        <v>193</v>
      </c>
      <c r="C129" s="80" t="s">
        <v>194</v>
      </c>
      <c r="D129" s="36"/>
      <c r="E129" s="53">
        <f>Tabel4[[#This Row],[20192]]</f>
        <v>0</v>
      </c>
      <c r="F129" s="53">
        <f>Tabel42[[#This Row],[20202]]</f>
        <v>0</v>
      </c>
      <c r="G129" s="53"/>
      <c r="H129" s="56"/>
      <c r="I129" s="56"/>
    </row>
    <row r="130" spans="1:9" ht="115.15">
      <c r="A130" s="82" t="s">
        <v>178</v>
      </c>
      <c r="B130" s="67" t="s">
        <v>120</v>
      </c>
      <c r="C130" s="80" t="s">
        <v>121</v>
      </c>
      <c r="D130" s="36"/>
      <c r="E130" s="53">
        <f>Tabel4[[#This Row],[20192]]</f>
        <v>0</v>
      </c>
      <c r="F130" s="53">
        <f>Tabel42[[#This Row],[20202]]</f>
        <v>0</v>
      </c>
      <c r="G130" s="53"/>
      <c r="H130" s="56"/>
      <c r="I130" s="56"/>
    </row>
    <row r="131" spans="1:9" ht="57.6">
      <c r="A131" s="82" t="s">
        <v>178</v>
      </c>
      <c r="B131" s="67" t="s">
        <v>168</v>
      </c>
      <c r="C131" s="80" t="s">
        <v>169</v>
      </c>
      <c r="D131" s="36"/>
      <c r="E131" s="53">
        <f>Tabel4[[#This Row],[20192]]</f>
        <v>0</v>
      </c>
      <c r="F131" s="53">
        <f>Tabel42[[#This Row],[20202]]</f>
        <v>0</v>
      </c>
      <c r="G131" s="53"/>
      <c r="H131" s="56"/>
      <c r="I131" s="56"/>
    </row>
    <row r="132" spans="1:9" ht="57.6">
      <c r="A132" s="82" t="s">
        <v>178</v>
      </c>
      <c r="B132" s="67" t="s">
        <v>122</v>
      </c>
      <c r="C132" s="80" t="s">
        <v>123</v>
      </c>
      <c r="D132" s="36"/>
      <c r="E132" s="53">
        <f>Tabel4[[#This Row],[20192]]</f>
        <v>0</v>
      </c>
      <c r="F132" s="53">
        <f>Tabel42[[#This Row],[20202]]</f>
        <v>0</v>
      </c>
      <c r="G132" s="53"/>
      <c r="H132" s="56"/>
      <c r="I132" s="56"/>
    </row>
    <row r="133" spans="1:9" ht="43.15">
      <c r="A133" s="82" t="s">
        <v>178</v>
      </c>
      <c r="B133" s="67" t="s">
        <v>124</v>
      </c>
      <c r="C133" s="80" t="s">
        <v>125</v>
      </c>
      <c r="D133" s="36"/>
      <c r="E133" s="53">
        <f>Tabel4[[#This Row],[20192]]</f>
        <v>0</v>
      </c>
      <c r="F133" s="53">
        <f>Tabel42[[#This Row],[20202]]</f>
        <v>0</v>
      </c>
      <c r="G133" s="53"/>
      <c r="H133" s="56"/>
      <c r="I133" s="56"/>
    </row>
    <row r="134" spans="1:9" ht="28.9">
      <c r="A134" s="82" t="s">
        <v>178</v>
      </c>
      <c r="B134" s="67" t="s">
        <v>195</v>
      </c>
      <c r="C134" s="80" t="s">
        <v>196</v>
      </c>
      <c r="D134" s="36"/>
      <c r="E134" s="53">
        <f>Tabel4[[#This Row],[20192]]</f>
        <v>0</v>
      </c>
      <c r="F134" s="53">
        <f>Tabel42[[#This Row],[20202]]</f>
        <v>0</v>
      </c>
      <c r="G134" s="53"/>
      <c r="H134" s="56"/>
      <c r="I134" s="56"/>
    </row>
    <row r="135" spans="1:9" ht="43.15">
      <c r="A135" s="82" t="s">
        <v>178</v>
      </c>
      <c r="B135" s="67" t="s">
        <v>197</v>
      </c>
      <c r="C135" s="80" t="s">
        <v>198</v>
      </c>
      <c r="D135" s="36"/>
      <c r="E135" s="53">
        <f>Tabel4[[#This Row],[20192]]</f>
        <v>0</v>
      </c>
      <c r="F135" s="53">
        <f>Tabel42[[#This Row],[20202]]</f>
        <v>0</v>
      </c>
      <c r="G135" s="53"/>
      <c r="H135" s="56"/>
      <c r="I135" s="56"/>
    </row>
    <row r="136" spans="1:9" ht="43.15">
      <c r="A136" s="82" t="s">
        <v>199</v>
      </c>
      <c r="B136" s="67" t="s">
        <v>197</v>
      </c>
      <c r="C136" s="80" t="s">
        <v>198</v>
      </c>
      <c r="D136" s="36"/>
      <c r="E136" s="53">
        <f>Tabel4[[#This Row],[20192]]</f>
        <v>0</v>
      </c>
      <c r="F136" s="53">
        <f>Tabel42[[#This Row],[20202]]</f>
        <v>0</v>
      </c>
      <c r="G136" s="53"/>
      <c r="H136" s="56"/>
      <c r="I136" s="56"/>
    </row>
    <row r="137" spans="1:9" ht="115.15">
      <c r="A137" s="82" t="s">
        <v>199</v>
      </c>
      <c r="B137" s="67" t="s">
        <v>200</v>
      </c>
      <c r="C137" s="80" t="s">
        <v>201</v>
      </c>
      <c r="D137" s="36"/>
      <c r="E137" s="53">
        <f>Tabel4[[#This Row],[20192]]</f>
        <v>0</v>
      </c>
      <c r="F137" s="53">
        <f>Tabel42[[#This Row],[20202]]</f>
        <v>0</v>
      </c>
      <c r="G137" s="53"/>
      <c r="H137" s="56"/>
      <c r="I137" s="56"/>
    </row>
    <row r="138" spans="1:9" ht="115.15">
      <c r="A138" s="82" t="s">
        <v>199</v>
      </c>
      <c r="B138" s="67" t="s">
        <v>202</v>
      </c>
      <c r="C138" s="80" t="s">
        <v>203</v>
      </c>
      <c r="D138" s="36"/>
      <c r="E138" s="53">
        <f>Tabel4[[#This Row],[20192]]</f>
        <v>0</v>
      </c>
      <c r="F138" s="53">
        <f>Tabel42[[#This Row],[20202]]</f>
        <v>0</v>
      </c>
      <c r="G138" s="53"/>
      <c r="H138" s="56"/>
      <c r="I138" s="56"/>
    </row>
    <row r="139" spans="1:9" ht="57.6">
      <c r="A139" s="82" t="s">
        <v>199</v>
      </c>
      <c r="B139" s="67" t="s">
        <v>204</v>
      </c>
      <c r="C139" s="80" t="s">
        <v>205</v>
      </c>
      <c r="D139" s="36"/>
      <c r="E139" s="53">
        <f>Tabel4[[#This Row],[20192]]</f>
        <v>0</v>
      </c>
      <c r="F139" s="53">
        <f>Tabel42[[#This Row],[20202]]</f>
        <v>0</v>
      </c>
      <c r="G139" s="53"/>
      <c r="H139" s="56"/>
      <c r="I139" s="56"/>
    </row>
    <row r="140" spans="1:9" ht="28.9">
      <c r="A140" s="82" t="s">
        <v>199</v>
      </c>
      <c r="B140" s="67" t="s">
        <v>206</v>
      </c>
      <c r="C140" s="80" t="s">
        <v>207</v>
      </c>
      <c r="D140" s="36"/>
      <c r="E140" s="53">
        <f>Tabel4[[#This Row],[20192]]</f>
        <v>0</v>
      </c>
      <c r="F140" s="53">
        <f>Tabel42[[#This Row],[20202]]</f>
        <v>0</v>
      </c>
      <c r="G140" s="53"/>
      <c r="H140" s="56"/>
      <c r="I140" s="56"/>
    </row>
    <row r="141" spans="1:9" ht="72">
      <c r="A141" s="82" t="s">
        <v>199</v>
      </c>
      <c r="B141" s="67" t="s">
        <v>208</v>
      </c>
      <c r="C141" s="80" t="s">
        <v>209</v>
      </c>
      <c r="D141" s="36"/>
      <c r="E141" s="53">
        <f>Tabel4[[#This Row],[20192]]</f>
        <v>0</v>
      </c>
      <c r="F141" s="53">
        <f>Tabel42[[#This Row],[20202]]</f>
        <v>0</v>
      </c>
      <c r="G141" s="53"/>
      <c r="H141" s="56"/>
      <c r="I141" s="56"/>
    </row>
    <row r="142" spans="1:9" ht="43.15">
      <c r="A142" s="82" t="s">
        <v>199</v>
      </c>
      <c r="B142" s="67" t="s">
        <v>210</v>
      </c>
      <c r="C142" s="80" t="s">
        <v>211</v>
      </c>
      <c r="D142" s="36"/>
      <c r="E142" s="53">
        <f>Tabel4[[#This Row],[20192]]</f>
        <v>0</v>
      </c>
      <c r="F142" s="53">
        <f>Tabel42[[#This Row],[20202]]</f>
        <v>0</v>
      </c>
      <c r="G142" s="53"/>
      <c r="H142" s="56"/>
      <c r="I142" s="56"/>
    </row>
    <row r="143" spans="1:9" ht="43.15">
      <c r="A143" s="82" t="s">
        <v>199</v>
      </c>
      <c r="B143" s="67" t="s">
        <v>212</v>
      </c>
      <c r="C143" s="80" t="s">
        <v>213</v>
      </c>
      <c r="D143" s="36"/>
      <c r="E143" s="53">
        <f>Tabel4[[#This Row],[20192]]</f>
        <v>0</v>
      </c>
      <c r="F143" s="53">
        <f>Tabel42[[#This Row],[20202]]</f>
        <v>0</v>
      </c>
      <c r="G143" s="53"/>
      <c r="H143" s="56"/>
      <c r="I143" s="56"/>
    </row>
    <row r="144" spans="1:9" ht="282.60000000000002" customHeight="1">
      <c r="A144" s="43"/>
      <c r="B144" s="67" t="s">
        <v>238</v>
      </c>
      <c r="C144" s="78" t="s">
        <v>239</v>
      </c>
      <c r="D144" s="36"/>
      <c r="E144" s="53">
        <f>'POP 2019'!E157</f>
        <v>0</v>
      </c>
      <c r="F144" s="53">
        <f>'POP 2020'!F157</f>
        <v>0</v>
      </c>
      <c r="G144" s="53"/>
      <c r="H144" s="56"/>
      <c r="I144" s="56"/>
    </row>
    <row r="145" spans="1:9" ht="220.15" customHeight="1">
      <c r="A145" s="43"/>
      <c r="B145" s="67" t="s">
        <v>240</v>
      </c>
      <c r="C145" s="45" t="s">
        <v>241</v>
      </c>
      <c r="D145" s="36"/>
      <c r="E145" s="53">
        <f>'POP 2019'!E158</f>
        <v>0</v>
      </c>
      <c r="F145" s="53">
        <f>'POP 2020'!F158</f>
        <v>0</v>
      </c>
      <c r="G145" s="53"/>
      <c r="H145" s="56"/>
      <c r="I145" s="56"/>
    </row>
    <row r="146" spans="1:9" ht="153" customHeight="1">
      <c r="A146" s="75"/>
      <c r="B146" s="83" t="s">
        <v>242</v>
      </c>
      <c r="C146" s="79" t="s">
        <v>243</v>
      </c>
      <c r="D146" s="44"/>
      <c r="E146" s="53">
        <f>'POP 2019'!E159</f>
        <v>0</v>
      </c>
      <c r="F146" s="53">
        <f>'POP 2020'!F159</f>
        <v>0</v>
      </c>
      <c r="G146" s="54"/>
      <c r="H146" s="57"/>
      <c r="I146" s="58"/>
    </row>
    <row r="147" spans="1:9">
      <c r="B147" s="83" t="s">
        <v>27</v>
      </c>
      <c r="C147" s="60"/>
      <c r="D147" s="44"/>
      <c r="E147" s="53">
        <f>'POP 2019'!E160</f>
        <v>0</v>
      </c>
      <c r="F147" s="53" t="str">
        <f>'POP 2020'!F160</f>
        <v>nvt</v>
      </c>
      <c r="G147" s="54"/>
      <c r="H147" s="57"/>
      <c r="I147" s="58"/>
    </row>
    <row r="148" spans="1:9" ht="15">
      <c r="B148" s="62"/>
      <c r="C148" s="63"/>
      <c r="D148" s="2"/>
      <c r="E148" s="61"/>
      <c r="F148" s="61"/>
      <c r="G148" s="61"/>
      <c r="H148" s="61"/>
      <c r="I148" s="61"/>
    </row>
    <row r="149" spans="1:9" ht="18">
      <c r="B149" s="12" t="s">
        <v>245</v>
      </c>
      <c r="C149" s="63"/>
      <c r="D149" s="2"/>
      <c r="E149" s="61"/>
      <c r="F149" s="61"/>
      <c r="G149" s="61"/>
      <c r="H149" s="61"/>
      <c r="I149" s="61"/>
    </row>
    <row r="150" spans="1:9" ht="97.15" customHeight="1">
      <c r="B150" s="64" t="s">
        <v>246</v>
      </c>
      <c r="C150" s="108"/>
      <c r="D150" s="94"/>
      <c r="E150" s="94"/>
      <c r="F150" s="94"/>
      <c r="G150" s="94"/>
      <c r="H150" s="94"/>
      <c r="I150" s="95"/>
    </row>
    <row r="151" spans="1:9" ht="132.6" customHeight="1">
      <c r="B151" s="65" t="s">
        <v>247</v>
      </c>
      <c r="C151" s="108"/>
      <c r="D151" s="94"/>
      <c r="E151" s="94"/>
      <c r="F151" s="94"/>
      <c r="G151" s="94"/>
      <c r="H151" s="94"/>
      <c r="I151" s="95"/>
    </row>
    <row r="152" spans="1:9" ht="15">
      <c r="B152" s="62"/>
      <c r="C152" s="63"/>
      <c r="D152" s="2"/>
      <c r="E152" s="61"/>
      <c r="F152" s="61"/>
      <c r="G152" s="61"/>
      <c r="H152" s="61"/>
      <c r="I152" s="61"/>
    </row>
    <row r="153" spans="1:9" ht="18">
      <c r="B153" s="12" t="s">
        <v>248</v>
      </c>
    </row>
    <row r="155" spans="1:9" ht="34.9" customHeight="1">
      <c r="B155" s="35" t="s">
        <v>249</v>
      </c>
      <c r="C155" s="35" t="s">
        <v>250</v>
      </c>
      <c r="D155" s="107" t="s">
        <v>251</v>
      </c>
      <c r="E155" s="107"/>
      <c r="F155" s="109" t="s">
        <v>252</v>
      </c>
      <c r="G155" s="110"/>
      <c r="H155" s="111" t="s">
        <v>253</v>
      </c>
      <c r="I155" s="112"/>
    </row>
    <row r="156" spans="1:9" ht="124.15" customHeight="1">
      <c r="B156" s="68"/>
      <c r="C156" s="68"/>
      <c r="D156" s="88"/>
      <c r="E156" s="90"/>
      <c r="F156" s="99"/>
      <c r="G156" s="100"/>
      <c r="H156" s="91"/>
      <c r="I156" s="92"/>
    </row>
    <row r="157" spans="1:9" ht="120" customHeight="1">
      <c r="B157" s="68"/>
      <c r="C157" s="68"/>
      <c r="D157" s="88"/>
      <c r="E157" s="90"/>
      <c r="F157" s="99"/>
      <c r="G157" s="100"/>
      <c r="H157" s="91"/>
      <c r="I157" s="92"/>
    </row>
    <row r="158" spans="1:9">
      <c r="B158" s="87"/>
      <c r="C158" s="87"/>
      <c r="D158" s="88"/>
      <c r="E158" s="90"/>
      <c r="F158" s="99"/>
      <c r="G158" s="100"/>
      <c r="H158" s="91"/>
      <c r="I158" s="92"/>
    </row>
    <row r="159" spans="1:9">
      <c r="B159" s="68"/>
      <c r="C159" s="68"/>
      <c r="D159" s="88"/>
      <c r="E159" s="90"/>
      <c r="F159" s="99"/>
      <c r="G159" s="100"/>
      <c r="H159" s="91"/>
      <c r="I159" s="92"/>
    </row>
    <row r="160" spans="1:9" ht="28.9">
      <c r="B160" s="73" t="s">
        <v>254</v>
      </c>
      <c r="C160" s="71"/>
      <c r="D160" s="71"/>
      <c r="E160" s="71"/>
      <c r="F160" s="72"/>
      <c r="G160" s="2"/>
      <c r="H160" s="2"/>
      <c r="I160" s="2"/>
    </row>
    <row r="161" spans="2:9">
      <c r="B161" s="68"/>
      <c r="C161" s="68"/>
      <c r="D161" s="88"/>
      <c r="E161" s="90"/>
      <c r="F161" s="99"/>
      <c r="G161" s="100"/>
      <c r="H161" s="91"/>
      <c r="I161" s="92"/>
    </row>
    <row r="162" spans="2:9">
      <c r="B162" s="68"/>
      <c r="C162" s="68"/>
      <c r="D162" s="88"/>
      <c r="E162" s="90"/>
      <c r="F162" s="99"/>
      <c r="G162" s="100"/>
      <c r="H162" s="91"/>
      <c r="I162" s="92"/>
    </row>
    <row r="163" spans="2:9">
      <c r="B163" s="74" t="s">
        <v>255</v>
      </c>
      <c r="C163" s="71"/>
      <c r="D163" s="71"/>
      <c r="E163" s="71"/>
      <c r="F163" s="72"/>
      <c r="G163" s="2"/>
      <c r="H163" s="2"/>
      <c r="I163" s="2"/>
    </row>
    <row r="164" spans="2:9">
      <c r="B164" s="93"/>
      <c r="C164" s="94"/>
      <c r="D164" s="94"/>
      <c r="E164" s="94"/>
      <c r="F164" s="94"/>
      <c r="G164" s="94"/>
      <c r="H164" s="94"/>
      <c r="I164" s="95"/>
    </row>
    <row r="166" spans="2:9" ht="18">
      <c r="B166" s="49" t="s">
        <v>256</v>
      </c>
    </row>
    <row r="168" spans="2:9" ht="24">
      <c r="B168" s="48" t="s">
        <v>257</v>
      </c>
      <c r="C168" s="104" t="s">
        <v>258</v>
      </c>
      <c r="D168" s="104"/>
      <c r="E168" s="104"/>
      <c r="F168" s="66"/>
      <c r="G168" s="103" t="s">
        <v>253</v>
      </c>
      <c r="H168" s="103"/>
      <c r="I168" s="69" t="s">
        <v>259</v>
      </c>
    </row>
    <row r="169" spans="2:9" ht="72">
      <c r="B169" s="68" t="str">
        <f>IF(B156="","",B156)</f>
        <v/>
      </c>
      <c r="C169" s="96"/>
      <c r="D169" s="97"/>
      <c r="E169" s="97"/>
      <c r="F169" s="98"/>
      <c r="G169" s="88" t="str">
        <f>IF(H156="","",H156)</f>
        <v/>
      </c>
      <c r="H169" s="90"/>
      <c r="I169" s="85"/>
    </row>
    <row r="170" spans="2:9" ht="129.6">
      <c r="B170" s="68" t="str">
        <f t="shared" ref="B170:B172" si="0">IF(B157="","",B157)</f>
        <v/>
      </c>
      <c r="C170" s="96"/>
      <c r="D170" s="97"/>
      <c r="E170" s="97"/>
      <c r="F170" s="98"/>
      <c r="G170" s="88" t="str">
        <f t="shared" ref="G170:G172" si="1">IF(H157="","",H157)</f>
        <v/>
      </c>
      <c r="H170" s="90"/>
      <c r="I170" s="85"/>
    </row>
    <row r="171" spans="2:9" ht="273.60000000000002">
      <c r="B171" s="68" t="str">
        <f t="shared" si="0"/>
        <v/>
      </c>
      <c r="C171" s="96"/>
      <c r="D171" s="97"/>
      <c r="E171" s="97"/>
      <c r="F171" s="98"/>
      <c r="G171" s="88" t="str">
        <f t="shared" si="1"/>
        <v/>
      </c>
      <c r="H171" s="90"/>
      <c r="I171" s="85"/>
    </row>
    <row r="172" spans="2:9" ht="72">
      <c r="B172" s="68" t="str">
        <f t="shared" si="0"/>
        <v/>
      </c>
      <c r="C172" s="96"/>
      <c r="D172" s="97"/>
      <c r="E172" s="97"/>
      <c r="F172" s="98"/>
      <c r="G172" s="88" t="str">
        <f t="shared" si="1"/>
        <v/>
      </c>
      <c r="H172" s="90"/>
      <c r="I172" s="85"/>
    </row>
    <row r="173" spans="2:9">
      <c r="B173" s="68" t="str">
        <f>IF(B161="","",B161)</f>
        <v/>
      </c>
      <c r="C173" s="96"/>
      <c r="D173" s="97"/>
      <c r="E173" s="97"/>
      <c r="F173" s="98"/>
      <c r="G173" s="88" t="str">
        <f>IF(H161="","",H161)</f>
        <v/>
      </c>
      <c r="H173" s="90"/>
      <c r="I173" s="85"/>
    </row>
    <row r="174" spans="2:9">
      <c r="B174" s="68" t="str">
        <f>IF(B162="","",B162)</f>
        <v/>
      </c>
      <c r="C174" s="96"/>
      <c r="D174" s="97"/>
      <c r="E174" s="97"/>
      <c r="F174" s="98"/>
      <c r="G174" s="88" t="str">
        <f>IF(H162="","",H162)</f>
        <v/>
      </c>
      <c r="H174" s="90"/>
      <c r="I174" s="85"/>
    </row>
    <row r="177" spans="2:9" ht="18">
      <c r="B177" s="50" t="s">
        <v>262</v>
      </c>
    </row>
    <row r="179" spans="2:9" ht="24">
      <c r="B179" s="51" t="s">
        <v>257</v>
      </c>
      <c r="C179" s="101" t="s">
        <v>258</v>
      </c>
      <c r="D179" s="101"/>
      <c r="E179" s="101"/>
      <c r="F179" s="101"/>
      <c r="G179" s="102" t="s">
        <v>253</v>
      </c>
      <c r="H179" s="102"/>
      <c r="I179" s="70" t="s">
        <v>259</v>
      </c>
    </row>
    <row r="180" spans="2:9">
      <c r="B180" s="68" t="str">
        <f>IF(I169="Ja",B169,"")</f>
        <v/>
      </c>
      <c r="C180" s="88"/>
      <c r="D180" s="89"/>
      <c r="E180" s="89"/>
      <c r="F180" s="90"/>
      <c r="G180" s="91" t="str">
        <f>IF(I169="Ja",G169,"")</f>
        <v/>
      </c>
      <c r="H180" s="92"/>
      <c r="I180" s="85"/>
    </row>
    <row r="181" spans="2:9">
      <c r="B181" s="68" t="str">
        <f t="shared" ref="B181:B185" si="2">IF(I170="Ja",B170,"")</f>
        <v/>
      </c>
      <c r="C181" s="88"/>
      <c r="D181" s="89"/>
      <c r="E181" s="89"/>
      <c r="F181" s="90"/>
      <c r="G181" s="91" t="str">
        <f t="shared" ref="G181:G185" si="3">IF(I170="Ja",G170,"")</f>
        <v/>
      </c>
      <c r="H181" s="92"/>
      <c r="I181" s="85"/>
    </row>
    <row r="182" spans="2:9">
      <c r="B182" s="68" t="str">
        <f t="shared" si="2"/>
        <v/>
      </c>
      <c r="C182" s="88"/>
      <c r="D182" s="89"/>
      <c r="E182" s="89"/>
      <c r="F182" s="90"/>
      <c r="G182" s="91" t="str">
        <f t="shared" si="3"/>
        <v/>
      </c>
      <c r="H182" s="92"/>
      <c r="I182" s="85"/>
    </row>
    <row r="183" spans="2:9">
      <c r="B183" s="68" t="str">
        <f t="shared" si="2"/>
        <v/>
      </c>
      <c r="C183" s="88"/>
      <c r="D183" s="89"/>
      <c r="E183" s="89"/>
      <c r="F183" s="90"/>
      <c r="G183" s="91" t="str">
        <f t="shared" si="3"/>
        <v/>
      </c>
      <c r="H183" s="92"/>
      <c r="I183" s="85"/>
    </row>
    <row r="184" spans="2:9">
      <c r="B184" s="68" t="str">
        <f t="shared" si="2"/>
        <v/>
      </c>
      <c r="C184" s="88"/>
      <c r="D184" s="89"/>
      <c r="E184" s="89"/>
      <c r="F184" s="90"/>
      <c r="G184" s="91" t="str">
        <f t="shared" si="3"/>
        <v/>
      </c>
      <c r="H184" s="92"/>
      <c r="I184" s="85"/>
    </row>
    <row r="185" spans="2:9">
      <c r="B185" s="68" t="str">
        <f t="shared" si="2"/>
        <v/>
      </c>
      <c r="C185" s="88"/>
      <c r="D185" s="89"/>
      <c r="E185" s="89"/>
      <c r="F185" s="90"/>
      <c r="G185" s="91" t="str">
        <f t="shared" si="3"/>
        <v/>
      </c>
      <c r="H185" s="92"/>
      <c r="I185" s="8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10"/>
  <dimension ref="A1:I198"/>
  <sheetViews>
    <sheetView tabSelected="1" topLeftCell="B168" zoomScale="112" zoomScaleNormal="112" zoomScalePageLayoutView="80" workbookViewId="0">
      <selection activeCell="B177" sqref="B177:I177"/>
    </sheetView>
  </sheetViews>
  <sheetFormatPr defaultColWidth="8.85546875" defaultRowHeight="16.899999999999999" customHeight="1"/>
  <cols>
    <col min="1" max="1" width="25.140625" style="2" hidden="1" customWidth="1"/>
    <col min="2" max="2" width="35.85546875" style="2" customWidth="1"/>
    <col min="3" max="3" width="50.5703125" style="2" customWidth="1"/>
    <col min="4" max="4" width="9.28515625" style="2" customWidth="1"/>
    <col min="5" max="5" width="10.42578125" style="2" bestFit="1" customWidth="1"/>
    <col min="6" max="9" width="8.28515625" style="2" customWidth="1"/>
    <col min="10" max="16384" width="8.85546875" style="2"/>
  </cols>
  <sheetData>
    <row r="1" spans="2:9" ht="16.899999999999999" customHeight="1">
      <c r="C1" s="1"/>
    </row>
    <row r="2" spans="2:9" ht="16.899999999999999" customHeight="1">
      <c r="B2" s="1"/>
    </row>
    <row r="3" spans="2:9" ht="16.899999999999999" customHeight="1">
      <c r="B3" s="1"/>
    </row>
    <row r="4" spans="2:9" ht="16.899999999999999" customHeight="1">
      <c r="G4" s="165" t="s">
        <v>28</v>
      </c>
      <c r="H4" s="165"/>
      <c r="I4" s="165"/>
    </row>
    <row r="5" spans="2:9" ht="16.899999999999999" customHeight="1">
      <c r="B5" s="4" t="s">
        <v>0</v>
      </c>
      <c r="C5" s="4"/>
      <c r="D5" s="21"/>
      <c r="E5" s="166" t="s">
        <v>29</v>
      </c>
      <c r="F5" s="166"/>
      <c r="G5" s="31" t="s">
        <v>30</v>
      </c>
      <c r="H5" s="30" t="s">
        <v>31</v>
      </c>
      <c r="I5" s="29" t="s">
        <v>32</v>
      </c>
    </row>
    <row r="6" spans="2:9" ht="16.899999999999999" customHeight="1">
      <c r="B6" s="3" t="s">
        <v>1</v>
      </c>
      <c r="C6" s="22"/>
      <c r="D6" s="21"/>
      <c r="E6" s="167"/>
      <c r="F6" s="168"/>
      <c r="G6" s="76"/>
      <c r="H6" s="77"/>
      <c r="I6" s="77"/>
    </row>
    <row r="7" spans="2:9" ht="16.899999999999999" customHeight="1">
      <c r="B7" s="3" t="s">
        <v>33</v>
      </c>
      <c r="C7" s="23"/>
      <c r="D7" s="21"/>
      <c r="E7" s="167"/>
      <c r="F7" s="168"/>
      <c r="G7" s="76"/>
      <c r="H7" s="77"/>
      <c r="I7" s="77"/>
    </row>
    <row r="8" spans="2:9" ht="16.899999999999999" customHeight="1">
      <c r="B8" s="3" t="s">
        <v>34</v>
      </c>
      <c r="C8" s="24"/>
      <c r="D8" s="21"/>
      <c r="E8" s="167"/>
      <c r="F8" s="168"/>
      <c r="G8" s="76"/>
      <c r="H8" s="77"/>
      <c r="I8" s="77"/>
    </row>
    <row r="9" spans="2:9" ht="16.899999999999999" customHeight="1">
      <c r="D9" s="5"/>
      <c r="E9" s="167"/>
      <c r="F9" s="168"/>
      <c r="G9" s="76"/>
      <c r="H9" s="77"/>
      <c r="I9" s="77"/>
    </row>
    <row r="10" spans="2:9" ht="16.899999999999999" customHeight="1">
      <c r="B10" s="12" t="s">
        <v>35</v>
      </c>
    </row>
    <row r="11" spans="2:9" ht="16.899999999999999" customHeight="1">
      <c r="B11" s="1"/>
    </row>
    <row r="12" spans="2:9" ht="16.899999999999999" customHeight="1">
      <c r="B12" s="8" t="s">
        <v>36</v>
      </c>
      <c r="C12" s="7"/>
      <c r="D12" s="7"/>
      <c r="E12" s="7"/>
      <c r="F12" s="7"/>
      <c r="G12" s="7"/>
      <c r="H12" s="7"/>
      <c r="I12" s="7"/>
    </row>
    <row r="13" spans="2:9" ht="43.9" customHeight="1">
      <c r="B13" s="20" t="s">
        <v>37</v>
      </c>
      <c r="C13" s="159">
        <f>'POP 2021'!C13:I13</f>
        <v>0</v>
      </c>
      <c r="D13" s="160"/>
      <c r="E13" s="160"/>
      <c r="F13" s="160"/>
      <c r="G13" s="160"/>
      <c r="H13" s="160"/>
      <c r="I13" s="161"/>
    </row>
    <row r="14" spans="2:9" ht="43.15" customHeight="1">
      <c r="B14" s="20" t="s">
        <v>38</v>
      </c>
      <c r="C14" s="159">
        <f>'POP 2021'!C14:I14</f>
        <v>0</v>
      </c>
      <c r="D14" s="160"/>
      <c r="E14" s="160"/>
      <c r="F14" s="160"/>
      <c r="G14" s="160"/>
      <c r="H14" s="160"/>
      <c r="I14" s="161"/>
    </row>
    <row r="15" spans="2:9" ht="52.15" customHeight="1">
      <c r="B15" s="25" t="s">
        <v>39</v>
      </c>
      <c r="C15" s="159">
        <f>'POP 2021'!C15:I15</f>
        <v>0</v>
      </c>
      <c r="D15" s="160"/>
      <c r="E15" s="160"/>
      <c r="F15" s="160"/>
      <c r="G15" s="160"/>
      <c r="H15" s="160"/>
      <c r="I15" s="161"/>
    </row>
    <row r="16" spans="2:9" ht="16.899999999999999" customHeight="1">
      <c r="B16" s="5"/>
      <c r="C16" s="5"/>
      <c r="D16" s="5"/>
      <c r="E16" s="5"/>
      <c r="F16" s="5"/>
    </row>
    <row r="17" spans="2:9" ht="16.899999999999999" customHeight="1">
      <c r="B17" s="8" t="s">
        <v>40</v>
      </c>
      <c r="C17" s="6"/>
      <c r="D17" s="6"/>
      <c r="E17" s="6"/>
      <c r="F17" s="6"/>
      <c r="G17" s="6"/>
      <c r="H17" s="6"/>
      <c r="I17" s="6"/>
    </row>
    <row r="18" spans="2:9" ht="45" customHeight="1">
      <c r="B18" s="17" t="s">
        <v>41</v>
      </c>
      <c r="C18" s="164">
        <f>'POP 2021'!C18:I18</f>
        <v>0</v>
      </c>
      <c r="D18" s="160"/>
      <c r="E18" s="160"/>
      <c r="F18" s="160"/>
      <c r="G18" s="160"/>
      <c r="H18" s="160"/>
      <c r="I18" s="161"/>
    </row>
    <row r="19" spans="2:9" ht="44.45" customHeight="1">
      <c r="B19" s="17" t="s">
        <v>42</v>
      </c>
      <c r="C19" s="164">
        <f>'POP 2021'!C19:I19</f>
        <v>0</v>
      </c>
      <c r="D19" s="160"/>
      <c r="E19" s="160"/>
      <c r="F19" s="160"/>
      <c r="G19" s="160"/>
      <c r="H19" s="160"/>
      <c r="I19" s="161"/>
    </row>
    <row r="20" spans="2:9" ht="36.6" customHeight="1">
      <c r="B20" s="17" t="s">
        <v>43</v>
      </c>
      <c r="C20" s="164">
        <f>'POP 2021'!C20:I20</f>
        <v>0</v>
      </c>
      <c r="D20" s="160"/>
      <c r="E20" s="160"/>
      <c r="F20" s="160"/>
      <c r="G20" s="160"/>
      <c r="H20" s="160"/>
      <c r="I20" s="161"/>
    </row>
    <row r="21" spans="2:9" ht="38.450000000000003" customHeight="1">
      <c r="B21" s="25" t="s">
        <v>44</v>
      </c>
      <c r="C21" s="164">
        <f>'POP 2021'!C21:I21</f>
        <v>0</v>
      </c>
      <c r="D21" s="160"/>
      <c r="E21" s="160"/>
      <c r="F21" s="160"/>
      <c r="G21" s="160"/>
      <c r="H21" s="160"/>
      <c r="I21" s="161"/>
    </row>
    <row r="22" spans="2:9" ht="31.15" customHeight="1">
      <c r="B22" s="55" t="s">
        <v>45</v>
      </c>
      <c r="C22" s="164">
        <f>'POP 2021'!C22:I22</f>
        <v>0</v>
      </c>
      <c r="D22" s="160"/>
      <c r="E22" s="160"/>
      <c r="F22" s="160"/>
      <c r="G22" s="160"/>
      <c r="H22" s="160"/>
      <c r="I22" s="161"/>
    </row>
    <row r="23" spans="2:9" ht="39.6" customHeight="1">
      <c r="B23" s="17" t="s">
        <v>46</v>
      </c>
      <c r="C23" s="164">
        <f>'POP 2021'!C23:I23</f>
        <v>0</v>
      </c>
      <c r="D23" s="160"/>
      <c r="E23" s="160"/>
      <c r="F23" s="160"/>
      <c r="G23" s="160"/>
      <c r="H23" s="160"/>
      <c r="I23" s="161"/>
    </row>
    <row r="24" spans="2:9" ht="45.6" customHeight="1">
      <c r="B24" s="25" t="s">
        <v>47</v>
      </c>
      <c r="C24" s="164">
        <f>'POP 2021'!C24:I24</f>
        <v>0</v>
      </c>
      <c r="D24" s="160"/>
      <c r="E24" s="160"/>
      <c r="F24" s="160"/>
      <c r="G24" s="160"/>
      <c r="H24" s="160"/>
      <c r="I24" s="161"/>
    </row>
    <row r="25" spans="2:9" ht="81" customHeight="1">
      <c r="B25" s="25" t="s">
        <v>48</v>
      </c>
      <c r="C25" s="164">
        <f>'POP 2021'!C25:I25</f>
        <v>0</v>
      </c>
      <c r="D25" s="160"/>
      <c r="E25" s="160"/>
      <c r="F25" s="160"/>
      <c r="G25" s="160"/>
      <c r="H25" s="160"/>
      <c r="I25" s="161"/>
    </row>
    <row r="26" spans="2:9" ht="102.6" customHeight="1">
      <c r="B26" s="25" t="s">
        <v>49</v>
      </c>
      <c r="C26" s="164">
        <f>'POP 2021'!C26:I26</f>
        <v>0</v>
      </c>
      <c r="D26" s="160"/>
      <c r="E26" s="160"/>
      <c r="F26" s="160"/>
      <c r="G26" s="160"/>
      <c r="H26" s="160"/>
      <c r="I26" s="161"/>
    </row>
    <row r="28" spans="2:9" ht="16.899999999999999" customHeight="1">
      <c r="B28" s="8" t="s">
        <v>50</v>
      </c>
      <c r="C28" s="8"/>
      <c r="D28" s="8"/>
      <c r="E28" s="8"/>
      <c r="F28" s="8"/>
      <c r="G28" s="8"/>
      <c r="H28" s="8"/>
      <c r="I28" s="8"/>
    </row>
    <row r="29" spans="2:9" ht="60" customHeight="1">
      <c r="B29" s="17" t="s">
        <v>51</v>
      </c>
      <c r="C29" s="164"/>
      <c r="D29" s="160"/>
      <c r="E29" s="160"/>
      <c r="F29" s="160"/>
      <c r="G29" s="160"/>
      <c r="H29" s="160"/>
      <c r="I29" s="161"/>
    </row>
    <row r="30" spans="2:9" ht="40.9" customHeight="1">
      <c r="B30" s="25" t="s">
        <v>52</v>
      </c>
      <c r="C30" s="159"/>
      <c r="D30" s="160"/>
      <c r="E30" s="160"/>
      <c r="F30" s="160"/>
      <c r="G30" s="160"/>
      <c r="H30" s="160"/>
      <c r="I30" s="161"/>
    </row>
    <row r="31" spans="2:9" ht="16.899999999999999" customHeight="1">
      <c r="B31" s="10"/>
      <c r="C31" s="10"/>
      <c r="D31" s="10"/>
      <c r="E31" s="10"/>
      <c r="F31" s="10"/>
      <c r="G31" s="5"/>
      <c r="H31" s="11"/>
      <c r="I31" s="11"/>
    </row>
    <row r="32" spans="2:9" ht="16.899999999999999" customHeight="1">
      <c r="B32" s="8" t="s">
        <v>53</v>
      </c>
      <c r="C32" s="8"/>
      <c r="D32" s="8"/>
      <c r="E32" s="8"/>
      <c r="F32" s="8"/>
      <c r="G32" s="8"/>
      <c r="H32" s="8"/>
      <c r="I32" s="8"/>
    </row>
    <row r="33" spans="2:9" ht="40.9" customHeight="1">
      <c r="B33" s="26" t="s">
        <v>54</v>
      </c>
      <c r="C33" s="159">
        <f>'POP 2021'!C33:I33</f>
        <v>0</v>
      </c>
      <c r="D33" s="160"/>
      <c r="E33" s="160"/>
      <c r="F33" s="160"/>
      <c r="G33" s="160"/>
      <c r="H33" s="160"/>
      <c r="I33" s="161"/>
    </row>
    <row r="34" spans="2:9" ht="30.6" customHeight="1">
      <c r="B34" s="27" t="s">
        <v>55</v>
      </c>
      <c r="C34" s="159">
        <f>'POP 2021'!C34:I34</f>
        <v>0</v>
      </c>
      <c r="D34" s="160"/>
      <c r="E34" s="160"/>
      <c r="F34" s="160"/>
      <c r="G34" s="160"/>
      <c r="H34" s="160"/>
      <c r="I34" s="161"/>
    </row>
    <row r="35" spans="2:9" ht="31.9" customHeight="1">
      <c r="B35" s="28" t="s">
        <v>56</v>
      </c>
      <c r="C35" s="159">
        <f>'POP 2021'!C35:I35</f>
        <v>0</v>
      </c>
      <c r="D35" s="160"/>
      <c r="E35" s="160"/>
      <c r="F35" s="160"/>
      <c r="G35" s="160"/>
      <c r="H35" s="160"/>
      <c r="I35" s="161"/>
    </row>
    <row r="36" spans="2:9" ht="16.899999999999999" customHeight="1">
      <c r="B36" s="10"/>
      <c r="C36" s="10"/>
      <c r="D36" s="10"/>
      <c r="E36" s="10"/>
      <c r="F36" s="10"/>
      <c r="G36" s="11"/>
      <c r="H36" s="11"/>
      <c r="I36" s="11"/>
    </row>
    <row r="37" spans="2:9" ht="16.899999999999999" customHeight="1">
      <c r="B37" s="8" t="s">
        <v>57</v>
      </c>
      <c r="C37" s="8"/>
      <c r="D37" s="8"/>
      <c r="E37" s="8"/>
      <c r="F37" s="8"/>
      <c r="G37" s="8"/>
      <c r="H37" s="8"/>
      <c r="I37" s="8"/>
    </row>
    <row r="38" spans="2:9" ht="54" customHeight="1">
      <c r="B38" s="17" t="s">
        <v>58</v>
      </c>
      <c r="C38" s="159">
        <f>'POP 2021'!C38:I38</f>
        <v>0</v>
      </c>
      <c r="D38" s="160"/>
      <c r="E38" s="160"/>
      <c r="F38" s="160"/>
      <c r="G38" s="160"/>
      <c r="H38" s="160"/>
      <c r="I38" s="161"/>
    </row>
    <row r="39" spans="2:9" ht="49.15" customHeight="1">
      <c r="B39" s="17" t="s">
        <v>59</v>
      </c>
      <c r="C39" s="159">
        <f>'POP 2021'!C39:I39</f>
        <v>0</v>
      </c>
      <c r="D39" s="160"/>
      <c r="E39" s="160"/>
      <c r="F39" s="160"/>
      <c r="G39" s="160"/>
      <c r="H39" s="160"/>
      <c r="I39" s="161"/>
    </row>
    <row r="40" spans="2:9" ht="62.45" customHeight="1">
      <c r="B40" s="18" t="s">
        <v>60</v>
      </c>
      <c r="C40" s="159">
        <f>'POP 2021'!C40:I40</f>
        <v>0</v>
      </c>
      <c r="D40" s="160"/>
      <c r="E40" s="160"/>
      <c r="F40" s="160"/>
      <c r="G40" s="160"/>
      <c r="H40" s="160"/>
      <c r="I40" s="161"/>
    </row>
    <row r="42" spans="2:9" ht="16.899999999999999" customHeight="1">
      <c r="B42" s="12" t="s">
        <v>61</v>
      </c>
      <c r="C42" s="1"/>
      <c r="D42" s="1"/>
      <c r="E42" s="1"/>
      <c r="F42" s="1"/>
    </row>
    <row r="43" spans="2:9" ht="52.15" customHeight="1">
      <c r="B43" s="19" t="s">
        <v>62</v>
      </c>
      <c r="C43" s="159">
        <f>'POP 2021'!C43:I43</f>
        <v>0</v>
      </c>
      <c r="D43" s="160"/>
      <c r="E43" s="160"/>
      <c r="F43" s="160"/>
      <c r="G43" s="160"/>
      <c r="H43" s="160"/>
      <c r="I43" s="161"/>
    </row>
    <row r="44" spans="2:9" ht="52.15" customHeight="1">
      <c r="B44" s="19" t="s">
        <v>63</v>
      </c>
      <c r="C44" s="159">
        <f>'POP 2021'!C44:I44</f>
        <v>0</v>
      </c>
      <c r="D44" s="160"/>
      <c r="E44" s="160"/>
      <c r="F44" s="160"/>
      <c r="G44" s="160"/>
      <c r="H44" s="160"/>
      <c r="I44" s="161"/>
    </row>
    <row r="45" spans="2:9" ht="49.15" customHeight="1">
      <c r="B45" s="18" t="s">
        <v>64</v>
      </c>
      <c r="C45" s="159">
        <f>'POP 2021'!C45:I45</f>
        <v>0</v>
      </c>
      <c r="D45" s="160"/>
      <c r="E45" s="160"/>
      <c r="F45" s="160"/>
      <c r="G45" s="160"/>
      <c r="H45" s="160"/>
      <c r="I45" s="161"/>
    </row>
    <row r="46" spans="2:9" ht="50.45" customHeight="1">
      <c r="B46" s="18" t="s">
        <v>65</v>
      </c>
      <c r="C46" s="159">
        <f>'POP 2021'!C46:I46</f>
        <v>0</v>
      </c>
      <c r="D46" s="160"/>
      <c r="E46" s="160"/>
      <c r="F46" s="160"/>
      <c r="G46" s="160"/>
      <c r="H46" s="160"/>
      <c r="I46" s="161"/>
    </row>
    <row r="47" spans="2:9" ht="56.45" customHeight="1">
      <c r="B47" s="18" t="s">
        <v>66</v>
      </c>
      <c r="C47" s="159">
        <f>'POP 2021'!C47:I47</f>
        <v>0</v>
      </c>
      <c r="D47" s="160"/>
      <c r="E47" s="160"/>
      <c r="F47" s="160"/>
      <c r="G47" s="160"/>
      <c r="H47" s="160"/>
      <c r="I47" s="161"/>
    </row>
    <row r="49" spans="2:9" ht="16.899999999999999" customHeight="1">
      <c r="B49" s="12" t="s">
        <v>67</v>
      </c>
      <c r="C49" s="12"/>
      <c r="E49" s="163" t="s">
        <v>68</v>
      </c>
      <c r="F49" s="163"/>
      <c r="G49" s="163"/>
      <c r="H49" s="163"/>
      <c r="I49" s="163"/>
    </row>
    <row r="50" spans="2:9" ht="16.899999999999999" customHeight="1">
      <c r="E50" s="162" t="s">
        <v>69</v>
      </c>
      <c r="F50" s="162"/>
      <c r="G50" s="162"/>
      <c r="H50" s="162"/>
      <c r="I50" s="162"/>
    </row>
    <row r="51" spans="2:9" ht="22.7" customHeight="1">
      <c r="B51" s="15" t="s">
        <v>70</v>
      </c>
      <c r="C51" s="14" t="s">
        <v>71</v>
      </c>
      <c r="D51" s="14"/>
      <c r="E51" s="13">
        <v>2019</v>
      </c>
      <c r="F51" s="13">
        <v>2020</v>
      </c>
      <c r="G51" s="13">
        <v>2021</v>
      </c>
      <c r="H51" s="13">
        <v>2022</v>
      </c>
      <c r="I51" s="16">
        <v>2023</v>
      </c>
    </row>
    <row r="52" spans="2:9" ht="72">
      <c r="B52" s="46" t="s">
        <v>72</v>
      </c>
      <c r="C52" s="47" t="s">
        <v>73</v>
      </c>
      <c r="D52" s="9"/>
      <c r="E52" s="52">
        <f>'POP 2019'!E52</f>
        <v>0</v>
      </c>
      <c r="F52" s="52">
        <f>'POP 2020'!F52</f>
        <v>0</v>
      </c>
      <c r="G52" s="52">
        <f>'POP 2021'!G52</f>
        <v>0</v>
      </c>
      <c r="H52" s="52"/>
      <c r="I52" s="59"/>
    </row>
    <row r="53" spans="2:9" ht="57.6">
      <c r="B53" s="46" t="s">
        <v>74</v>
      </c>
      <c r="C53" s="47" t="s">
        <v>75</v>
      </c>
      <c r="D53" s="9"/>
      <c r="E53" s="52">
        <f>'POP 2019'!E53</f>
        <v>0</v>
      </c>
      <c r="F53" s="52">
        <f>'POP 2020'!F53</f>
        <v>0</v>
      </c>
      <c r="G53" s="52">
        <f>'POP 2021'!G53</f>
        <v>0</v>
      </c>
      <c r="H53" s="52"/>
      <c r="I53" s="59"/>
    </row>
    <row r="54" spans="2:9" ht="57.6">
      <c r="B54" s="46" t="s">
        <v>76</v>
      </c>
      <c r="C54" s="47" t="s">
        <v>77</v>
      </c>
      <c r="D54" s="9"/>
      <c r="E54" s="52">
        <f>'POP 2019'!E54</f>
        <v>0</v>
      </c>
      <c r="F54" s="52">
        <f>'POP 2020'!F54</f>
        <v>0</v>
      </c>
      <c r="G54" s="52">
        <f>'POP 2021'!G54</f>
        <v>0</v>
      </c>
      <c r="H54" s="52"/>
      <c r="I54" s="59"/>
    </row>
    <row r="55" spans="2:9" ht="129.6">
      <c r="B55" s="46" t="s">
        <v>78</v>
      </c>
      <c r="C55" s="47" t="s">
        <v>79</v>
      </c>
      <c r="D55" s="9"/>
      <c r="E55" s="52">
        <f>'POP 2019'!E55</f>
        <v>0</v>
      </c>
      <c r="F55" s="52">
        <f>'POP 2020'!F55</f>
        <v>0</v>
      </c>
      <c r="G55" s="52">
        <f>'POP 2021'!G55</f>
        <v>0</v>
      </c>
      <c r="H55" s="52"/>
      <c r="I55" s="59"/>
    </row>
    <row r="56" spans="2:9" ht="72">
      <c r="B56" s="46" t="s">
        <v>80</v>
      </c>
      <c r="C56" s="47" t="s">
        <v>81</v>
      </c>
      <c r="D56" s="9"/>
      <c r="E56" s="52">
        <f>'POP 2019'!E56</f>
        <v>0</v>
      </c>
      <c r="F56" s="52">
        <f>'POP 2020'!F56</f>
        <v>0</v>
      </c>
      <c r="G56" s="52">
        <f>'POP 2021'!G56</f>
        <v>0</v>
      </c>
      <c r="H56" s="52"/>
      <c r="I56" s="59"/>
    </row>
    <row r="57" spans="2:9" ht="86.45">
      <c r="B57" s="46" t="s">
        <v>82</v>
      </c>
      <c r="C57" s="47" t="s">
        <v>83</v>
      </c>
      <c r="D57" s="9"/>
      <c r="E57" s="52">
        <f>'POP 2019'!E57</f>
        <v>0</v>
      </c>
      <c r="F57" s="52">
        <f>'POP 2020'!F57</f>
        <v>0</v>
      </c>
      <c r="G57" s="52">
        <f>'POP 2021'!G57</f>
        <v>0</v>
      </c>
      <c r="H57" s="52"/>
      <c r="I57" s="59"/>
    </row>
    <row r="58" spans="2:9" ht="129.6" customHeight="1">
      <c r="B58" s="46" t="s">
        <v>84</v>
      </c>
      <c r="C58" s="47" t="s">
        <v>85</v>
      </c>
      <c r="D58" s="9"/>
      <c r="E58" s="52">
        <f>'POP 2019'!E58</f>
        <v>0</v>
      </c>
      <c r="F58" s="52">
        <f>'POP 2020'!F58</f>
        <v>0</v>
      </c>
      <c r="G58" s="52">
        <f>'POP 2021'!G58</f>
        <v>0</v>
      </c>
      <c r="H58" s="52"/>
      <c r="I58" s="59"/>
    </row>
    <row r="59" spans="2:9" ht="57.6">
      <c r="B59" s="46" t="s">
        <v>86</v>
      </c>
      <c r="C59" s="47" t="s">
        <v>87</v>
      </c>
      <c r="D59" s="9"/>
      <c r="E59" s="52">
        <f>'POP 2019'!E59</f>
        <v>0</v>
      </c>
      <c r="F59" s="52">
        <f>'POP 2020'!F59</f>
        <v>0</v>
      </c>
      <c r="G59" s="52">
        <f>'POP 2021'!G59</f>
        <v>0</v>
      </c>
      <c r="H59" s="52"/>
      <c r="I59" s="59"/>
    </row>
    <row r="60" spans="2:9" ht="43.15">
      <c r="B60" s="46" t="s">
        <v>88</v>
      </c>
      <c r="C60" s="47" t="s">
        <v>89</v>
      </c>
      <c r="D60" s="9"/>
      <c r="E60" s="52">
        <f>'POP 2019'!E60</f>
        <v>0</v>
      </c>
      <c r="F60" s="52">
        <f>'POP 2020'!F60</f>
        <v>0</v>
      </c>
      <c r="G60" s="52">
        <f>'POP 2021'!G60</f>
        <v>0</v>
      </c>
      <c r="H60" s="52"/>
      <c r="I60" s="59"/>
    </row>
    <row r="61" spans="2:9" ht="53.45" customHeight="1">
      <c r="B61" s="46" t="s">
        <v>271</v>
      </c>
      <c r="C61" s="47"/>
      <c r="D61" s="9"/>
      <c r="E61" s="52">
        <f>'POP 2019'!E61</f>
        <v>0</v>
      </c>
      <c r="F61" s="52">
        <f>'POP 2020'!F61</f>
        <v>0</v>
      </c>
      <c r="G61" s="52">
        <f>'POP 2021'!G61</f>
        <v>0</v>
      </c>
      <c r="H61" s="52"/>
      <c r="I61" s="59"/>
    </row>
    <row r="62" spans="2:9" ht="20.45" customHeight="1">
      <c r="B62" s="32"/>
      <c r="C62" s="33"/>
      <c r="D62" s="11"/>
      <c r="E62" s="11"/>
      <c r="F62" s="11"/>
      <c r="G62" s="11"/>
      <c r="H62" s="11"/>
      <c r="I62" s="11"/>
    </row>
    <row r="63" spans="2:9" ht="17.45" customHeight="1">
      <c r="B63" s="34" t="s">
        <v>91</v>
      </c>
      <c r="C63" s="33"/>
      <c r="D63" s="11"/>
      <c r="E63" s="11"/>
      <c r="F63" s="11"/>
      <c r="G63" s="11"/>
      <c r="H63" s="11"/>
      <c r="I63" s="11"/>
    </row>
    <row r="64" spans="2:9" ht="14.45">
      <c r="B64" s="32"/>
      <c r="C64" s="33"/>
      <c r="D64" s="11"/>
      <c r="E64" s="11"/>
      <c r="F64" s="11"/>
      <c r="G64" s="11"/>
      <c r="H64" s="11"/>
      <c r="I64" s="11"/>
    </row>
    <row r="65" spans="1:9" ht="14.45">
      <c r="B65" s="32"/>
      <c r="C65" s="33"/>
      <c r="D65" s="11"/>
      <c r="E65" s="11"/>
      <c r="F65" s="11"/>
      <c r="G65" s="11"/>
      <c r="H65" s="11"/>
      <c r="I65" s="11"/>
    </row>
    <row r="66" spans="1:9" ht="14.45">
      <c r="B66" s="32"/>
      <c r="C66" s="33"/>
      <c r="D66" s="11"/>
      <c r="E66" s="11"/>
      <c r="F66" s="11"/>
      <c r="G66" s="11"/>
      <c r="H66" s="11"/>
      <c r="I66" s="11"/>
    </row>
    <row r="67" spans="1:9" ht="14.45">
      <c r="B67" s="32"/>
      <c r="C67" s="33"/>
      <c r="D67" s="11"/>
      <c r="E67" s="11"/>
      <c r="F67" s="11"/>
      <c r="G67" s="11"/>
      <c r="H67" s="11"/>
      <c r="I67" s="11"/>
    </row>
    <row r="68" spans="1:9" ht="14.45">
      <c r="B68" s="32"/>
      <c r="C68" s="33"/>
      <c r="D68" s="11"/>
      <c r="E68" s="11"/>
      <c r="F68" s="11"/>
      <c r="G68" s="11"/>
      <c r="H68" s="11"/>
      <c r="I68" s="11"/>
    </row>
    <row r="69" spans="1:9" ht="14.45">
      <c r="B69" s="32"/>
      <c r="C69" s="33"/>
      <c r="D69" s="11"/>
      <c r="E69" s="11"/>
      <c r="F69" s="11"/>
      <c r="G69" s="11"/>
      <c r="H69" s="11"/>
      <c r="I69" s="11"/>
    </row>
    <row r="70" spans="1:9" ht="14.45">
      <c r="B70" s="32"/>
      <c r="C70" s="33"/>
      <c r="D70" s="11"/>
      <c r="E70" s="11"/>
      <c r="F70" s="11"/>
      <c r="G70" s="11"/>
      <c r="H70" s="11"/>
      <c r="I70" s="11"/>
    </row>
    <row r="71" spans="1:9" ht="14.45">
      <c r="B71" s="32"/>
      <c r="C71" s="33"/>
      <c r="D71" s="11"/>
      <c r="E71" s="11"/>
      <c r="F71" s="11"/>
      <c r="G71" s="11"/>
      <c r="H71" s="11"/>
      <c r="I71" s="11"/>
    </row>
    <row r="72" spans="1:9" ht="14.45">
      <c r="B72" s="32"/>
      <c r="C72" s="33"/>
      <c r="D72" s="11"/>
      <c r="E72" s="11"/>
      <c r="F72" s="11"/>
      <c r="G72" s="11"/>
      <c r="H72" s="11"/>
      <c r="I72" s="11"/>
    </row>
    <row r="73" spans="1:9" ht="14.45">
      <c r="B73" s="32"/>
      <c r="C73" s="33"/>
      <c r="D73" s="11"/>
      <c r="E73" s="11"/>
      <c r="F73" s="11"/>
      <c r="G73" s="11"/>
      <c r="H73" s="11"/>
      <c r="I73" s="11"/>
    </row>
    <row r="74" spans="1:9" ht="14.45">
      <c r="B74" s="32"/>
      <c r="C74" s="33"/>
      <c r="D74" s="11"/>
      <c r="E74" s="11"/>
      <c r="F74" s="11"/>
      <c r="G74" s="11"/>
      <c r="H74" s="11"/>
      <c r="I74" s="11"/>
    </row>
    <row r="75" spans="1:9" ht="14.45">
      <c r="B75" s="37"/>
      <c r="C75" s="37"/>
      <c r="E75" s="163" t="s">
        <v>68</v>
      </c>
      <c r="F75" s="163"/>
      <c r="G75" s="163"/>
      <c r="H75" s="163"/>
      <c r="I75" s="163"/>
    </row>
    <row r="76" spans="1:9" ht="16.899999999999999" customHeight="1">
      <c r="E76" s="162" t="s">
        <v>69</v>
      </c>
      <c r="F76" s="162"/>
      <c r="G76" s="162"/>
      <c r="H76" s="162"/>
      <c r="I76" s="162"/>
    </row>
    <row r="77" spans="1:9" ht="16.899999999999999" customHeight="1">
      <c r="A77" s="42" t="s">
        <v>92</v>
      </c>
      <c r="B77" s="38" t="s">
        <v>91</v>
      </c>
      <c r="C77" s="38" t="s">
        <v>71</v>
      </c>
      <c r="D77" s="41" t="s">
        <v>93</v>
      </c>
      <c r="E77" s="39" t="s">
        <v>272</v>
      </c>
      <c r="F77" s="39" t="s">
        <v>273</v>
      </c>
      <c r="G77" s="39" t="s">
        <v>274</v>
      </c>
      <c r="H77" s="39" t="s">
        <v>275</v>
      </c>
      <c r="I77" s="40" t="s">
        <v>98</v>
      </c>
    </row>
    <row r="78" spans="1:9" ht="28.9" hidden="1">
      <c r="A78" s="82" t="s">
        <v>99</v>
      </c>
      <c r="B78" s="67" t="s">
        <v>100</v>
      </c>
      <c r="C78" s="80" t="s">
        <v>101</v>
      </c>
      <c r="D78" s="36"/>
      <c r="E78" s="53">
        <f>Tabel4[[#This Row],[20192]]</f>
        <v>0</v>
      </c>
      <c r="F78" s="53">
        <f>Tabel42[[#This Row],[20202]]</f>
        <v>0</v>
      </c>
      <c r="G78" s="53" t="e">
        <f>#REF!</f>
        <v>#REF!</v>
      </c>
      <c r="H78" s="53"/>
      <c r="I78" s="56"/>
    </row>
    <row r="79" spans="1:9" ht="43.15" hidden="1">
      <c r="A79" s="82" t="s">
        <v>99</v>
      </c>
      <c r="B79" s="67" t="s">
        <v>102</v>
      </c>
      <c r="C79" s="80" t="s">
        <v>103</v>
      </c>
      <c r="D79" s="36"/>
      <c r="E79" s="53">
        <f>Tabel4[[#This Row],[20192]]</f>
        <v>0</v>
      </c>
      <c r="F79" s="53">
        <f>Tabel42[[#This Row],[20202]]</f>
        <v>0</v>
      </c>
      <c r="G79" s="53" t="e">
        <f>#REF!</f>
        <v>#REF!</v>
      </c>
      <c r="H79" s="53"/>
      <c r="I79" s="56"/>
    </row>
    <row r="80" spans="1:9" ht="28.9" hidden="1">
      <c r="A80" s="82" t="s">
        <v>99</v>
      </c>
      <c r="B80" s="67" t="s">
        <v>104</v>
      </c>
      <c r="C80" s="80" t="s">
        <v>105</v>
      </c>
      <c r="D80" s="36"/>
      <c r="E80" s="53">
        <f>Tabel4[[#This Row],[20192]]</f>
        <v>0</v>
      </c>
      <c r="F80" s="53">
        <f>Tabel42[[#This Row],[20202]]</f>
        <v>0</v>
      </c>
      <c r="G80" s="53" t="e">
        <f>#REF!</f>
        <v>#REF!</v>
      </c>
      <c r="H80" s="53"/>
      <c r="I80" s="56"/>
    </row>
    <row r="81" spans="1:9" ht="14.45" hidden="1">
      <c r="A81" s="82" t="s">
        <v>99</v>
      </c>
      <c r="B81" s="67" t="s">
        <v>106</v>
      </c>
      <c r="C81" s="80" t="s">
        <v>107</v>
      </c>
      <c r="D81" s="36"/>
      <c r="E81" s="53">
        <f>Tabel4[[#This Row],[20192]]</f>
        <v>0</v>
      </c>
      <c r="F81" s="53">
        <f>Tabel42[[#This Row],[20202]]</f>
        <v>0</v>
      </c>
      <c r="G81" s="53" t="e">
        <f>#REF!</f>
        <v>#REF!</v>
      </c>
      <c r="H81" s="53"/>
      <c r="I81" s="56"/>
    </row>
    <row r="82" spans="1:9" ht="57.6" hidden="1">
      <c r="A82" s="82" t="s">
        <v>99</v>
      </c>
      <c r="B82" s="67" t="s">
        <v>108</v>
      </c>
      <c r="C82" s="80" t="s">
        <v>109</v>
      </c>
      <c r="D82" s="36"/>
      <c r="E82" s="53">
        <f>Tabel4[[#This Row],[20192]]</f>
        <v>0</v>
      </c>
      <c r="F82" s="53">
        <f>Tabel42[[#This Row],[20202]]</f>
        <v>0</v>
      </c>
      <c r="G82" s="53" t="e">
        <f>#REF!</f>
        <v>#REF!</v>
      </c>
      <c r="H82" s="53"/>
      <c r="I82" s="56"/>
    </row>
    <row r="83" spans="1:9" ht="28.9" hidden="1">
      <c r="A83" s="82" t="s">
        <v>99</v>
      </c>
      <c r="B83" s="67" t="s">
        <v>110</v>
      </c>
      <c r="C83" s="80" t="s">
        <v>111</v>
      </c>
      <c r="D83" s="36"/>
      <c r="E83" s="53">
        <f>Tabel4[[#This Row],[20192]]</f>
        <v>0</v>
      </c>
      <c r="F83" s="53">
        <f>Tabel42[[#This Row],[20202]]</f>
        <v>0</v>
      </c>
      <c r="G83" s="53" t="e">
        <f>#REF!</f>
        <v>#REF!</v>
      </c>
      <c r="H83" s="53"/>
      <c r="I83" s="56"/>
    </row>
    <row r="84" spans="1:9" ht="28.9" hidden="1">
      <c r="A84" s="82" t="s">
        <v>99</v>
      </c>
      <c r="B84" s="67" t="s">
        <v>112</v>
      </c>
      <c r="C84" s="80" t="s">
        <v>113</v>
      </c>
      <c r="D84" s="36"/>
      <c r="E84" s="53">
        <f>Tabel4[[#This Row],[20192]]</f>
        <v>0</v>
      </c>
      <c r="F84" s="53">
        <f>Tabel42[[#This Row],[20202]]</f>
        <v>0</v>
      </c>
      <c r="G84" s="53" t="e">
        <f>#REF!</f>
        <v>#REF!</v>
      </c>
      <c r="H84" s="53"/>
      <c r="I84" s="56"/>
    </row>
    <row r="85" spans="1:9" ht="57.6" hidden="1">
      <c r="A85" s="82" t="s">
        <v>99</v>
      </c>
      <c r="B85" s="67" t="s">
        <v>114</v>
      </c>
      <c r="C85" s="80" t="s">
        <v>115</v>
      </c>
      <c r="D85" s="36"/>
      <c r="E85" s="53">
        <f>Tabel4[[#This Row],[20192]]</f>
        <v>0</v>
      </c>
      <c r="F85" s="53">
        <f>Tabel42[[#This Row],[20202]]</f>
        <v>0</v>
      </c>
      <c r="G85" s="53" t="e">
        <f>#REF!</f>
        <v>#REF!</v>
      </c>
      <c r="H85" s="53"/>
      <c r="I85" s="56"/>
    </row>
    <row r="86" spans="1:9" ht="28.9" hidden="1">
      <c r="A86" s="82" t="s">
        <v>99</v>
      </c>
      <c r="B86" s="67" t="s">
        <v>116</v>
      </c>
      <c r="C86" s="81" t="s">
        <v>117</v>
      </c>
      <c r="D86" s="36"/>
      <c r="E86" s="53">
        <f>Tabel4[[#This Row],[20192]]</f>
        <v>0</v>
      </c>
      <c r="F86" s="53">
        <f>Tabel42[[#This Row],[20202]]</f>
        <v>0</v>
      </c>
      <c r="G86" s="53" t="e">
        <f>#REF!</f>
        <v>#REF!</v>
      </c>
      <c r="H86" s="53"/>
      <c r="I86" s="56"/>
    </row>
    <row r="87" spans="1:9" ht="14.45" hidden="1">
      <c r="A87" s="82" t="s">
        <v>99</v>
      </c>
      <c r="B87" s="67" t="s">
        <v>118</v>
      </c>
      <c r="C87" s="81" t="s">
        <v>119</v>
      </c>
      <c r="D87" s="36"/>
      <c r="E87" s="53">
        <f>Tabel4[[#This Row],[20192]]</f>
        <v>0</v>
      </c>
      <c r="F87" s="53">
        <f>Tabel42[[#This Row],[20202]]</f>
        <v>0</v>
      </c>
      <c r="G87" s="53" t="e">
        <f>#REF!</f>
        <v>#REF!</v>
      </c>
      <c r="H87" s="53"/>
      <c r="I87" s="56"/>
    </row>
    <row r="88" spans="1:9" ht="86.45" hidden="1">
      <c r="A88" s="82" t="s">
        <v>99</v>
      </c>
      <c r="B88" s="67" t="s">
        <v>120</v>
      </c>
      <c r="C88" s="80" t="s">
        <v>121</v>
      </c>
      <c r="D88" s="36"/>
      <c r="E88" s="53">
        <f>Tabel4[[#This Row],[20192]]</f>
        <v>0</v>
      </c>
      <c r="F88" s="53">
        <f>Tabel42[[#This Row],[20202]]</f>
        <v>0</v>
      </c>
      <c r="G88" s="53" t="e">
        <f>#REF!</f>
        <v>#REF!</v>
      </c>
      <c r="H88" s="53"/>
      <c r="I88" s="56"/>
    </row>
    <row r="89" spans="1:9" ht="57.6" hidden="1">
      <c r="A89" s="82" t="s">
        <v>99</v>
      </c>
      <c r="B89" s="67" t="s">
        <v>122</v>
      </c>
      <c r="C89" s="80" t="s">
        <v>123</v>
      </c>
      <c r="D89" s="36"/>
      <c r="E89" s="53">
        <f>Tabel4[[#This Row],[20192]]</f>
        <v>0</v>
      </c>
      <c r="F89" s="53">
        <f>Tabel42[[#This Row],[20202]]</f>
        <v>0</v>
      </c>
      <c r="G89" s="53" t="e">
        <f>#REF!</f>
        <v>#REF!</v>
      </c>
      <c r="H89" s="53"/>
      <c r="I89" s="56"/>
    </row>
    <row r="90" spans="1:9" ht="28.9" hidden="1">
      <c r="A90" s="82" t="s">
        <v>99</v>
      </c>
      <c r="B90" s="67" t="s">
        <v>124</v>
      </c>
      <c r="C90" s="80" t="s">
        <v>125</v>
      </c>
      <c r="D90" s="36"/>
      <c r="E90" s="53">
        <f>Tabel4[[#This Row],[20192]]</f>
        <v>0</v>
      </c>
      <c r="F90" s="53">
        <f>Tabel42[[#This Row],[20202]]</f>
        <v>0</v>
      </c>
      <c r="G90" s="53" t="e">
        <f>#REF!</f>
        <v>#REF!</v>
      </c>
      <c r="H90" s="53"/>
      <c r="I90" s="56"/>
    </row>
    <row r="91" spans="1:9" ht="57.6" hidden="1">
      <c r="A91" s="82" t="s">
        <v>126</v>
      </c>
      <c r="B91" s="67" t="s">
        <v>127</v>
      </c>
      <c r="C91" s="80" t="s">
        <v>128</v>
      </c>
      <c r="D91" s="36"/>
      <c r="E91" s="53">
        <f>Tabel4[[#This Row],[20192]]</f>
        <v>0</v>
      </c>
      <c r="F91" s="53">
        <f>Tabel42[[#This Row],[20202]]</f>
        <v>0</v>
      </c>
      <c r="G91" s="53" t="e">
        <f>#REF!</f>
        <v>#REF!</v>
      </c>
      <c r="H91" s="53"/>
      <c r="I91" s="56"/>
    </row>
    <row r="92" spans="1:9" ht="28.9" hidden="1">
      <c r="A92" s="82" t="s">
        <v>126</v>
      </c>
      <c r="B92" s="67" t="s">
        <v>129</v>
      </c>
      <c r="C92" s="80" t="s">
        <v>130</v>
      </c>
      <c r="D92" s="36"/>
      <c r="E92" s="53">
        <f>Tabel4[[#This Row],[20192]]</f>
        <v>0</v>
      </c>
      <c r="F92" s="53">
        <f>Tabel42[[#This Row],[20202]]</f>
        <v>0</v>
      </c>
      <c r="G92" s="53" t="e">
        <f>#REF!</f>
        <v>#REF!</v>
      </c>
      <c r="H92" s="53"/>
      <c r="I92" s="56"/>
    </row>
    <row r="93" spans="1:9" ht="72" hidden="1">
      <c r="A93" s="82" t="s">
        <v>126</v>
      </c>
      <c r="B93" s="67" t="s">
        <v>131</v>
      </c>
      <c r="C93" s="80" t="s">
        <v>132</v>
      </c>
      <c r="D93" s="36"/>
      <c r="E93" s="53">
        <f>Tabel4[[#This Row],[20192]]</f>
        <v>0</v>
      </c>
      <c r="F93" s="53">
        <f>Tabel42[[#This Row],[20202]]</f>
        <v>0</v>
      </c>
      <c r="G93" s="53" t="e">
        <f>#REF!</f>
        <v>#REF!</v>
      </c>
      <c r="H93" s="53"/>
      <c r="I93" s="56"/>
    </row>
    <row r="94" spans="1:9" ht="14.45" hidden="1">
      <c r="A94" s="82" t="s">
        <v>126</v>
      </c>
      <c r="B94" s="67" t="s">
        <v>133</v>
      </c>
      <c r="C94" s="80" t="s">
        <v>134</v>
      </c>
      <c r="D94" s="36"/>
      <c r="E94" s="53">
        <f>Tabel4[[#This Row],[20192]]</f>
        <v>0</v>
      </c>
      <c r="F94" s="53">
        <f>Tabel42[[#This Row],[20202]]</f>
        <v>0</v>
      </c>
      <c r="G94" s="53" t="e">
        <f>#REF!</f>
        <v>#REF!</v>
      </c>
      <c r="H94" s="53"/>
      <c r="I94" s="56"/>
    </row>
    <row r="95" spans="1:9" ht="100.9" hidden="1">
      <c r="A95" s="82" t="s">
        <v>126</v>
      </c>
      <c r="B95" s="67" t="s">
        <v>135</v>
      </c>
      <c r="C95" s="80" t="s">
        <v>136</v>
      </c>
      <c r="D95" s="36"/>
      <c r="E95" s="53">
        <f>Tabel4[[#This Row],[20192]]</f>
        <v>0</v>
      </c>
      <c r="F95" s="53">
        <f>Tabel42[[#This Row],[20202]]</f>
        <v>0</v>
      </c>
      <c r="G95" s="53" t="e">
        <f>#REF!</f>
        <v>#REF!</v>
      </c>
      <c r="H95" s="53"/>
      <c r="I95" s="56"/>
    </row>
    <row r="96" spans="1:9" ht="72" hidden="1">
      <c r="A96" s="82" t="s">
        <v>126</v>
      </c>
      <c r="B96" s="67" t="s">
        <v>137</v>
      </c>
      <c r="C96" s="80" t="s">
        <v>138</v>
      </c>
      <c r="D96" s="36"/>
      <c r="E96" s="53">
        <f>Tabel4[[#This Row],[20192]]</f>
        <v>0</v>
      </c>
      <c r="F96" s="53">
        <f>Tabel42[[#This Row],[20202]]</f>
        <v>0</v>
      </c>
      <c r="G96" s="53" t="e">
        <f>#REF!</f>
        <v>#REF!</v>
      </c>
      <c r="H96" s="53"/>
      <c r="I96" s="56"/>
    </row>
    <row r="97" spans="1:9" ht="43.15" hidden="1">
      <c r="A97" s="82" t="s">
        <v>126</v>
      </c>
      <c r="B97" s="67" t="s">
        <v>139</v>
      </c>
      <c r="C97" s="80" t="s">
        <v>140</v>
      </c>
      <c r="D97" s="36"/>
      <c r="E97" s="53">
        <f>Tabel4[[#This Row],[20192]]</f>
        <v>0</v>
      </c>
      <c r="F97" s="53">
        <f>Tabel42[[#This Row],[20202]]</f>
        <v>0</v>
      </c>
      <c r="G97" s="53" t="e">
        <f>#REF!</f>
        <v>#REF!</v>
      </c>
      <c r="H97" s="53"/>
      <c r="I97" s="56"/>
    </row>
    <row r="98" spans="1:9" ht="43.15" hidden="1">
      <c r="A98" s="82" t="s">
        <v>141</v>
      </c>
      <c r="B98" s="67" t="s">
        <v>127</v>
      </c>
      <c r="C98" s="80" t="s">
        <v>142</v>
      </c>
      <c r="D98" s="36"/>
      <c r="E98" s="53">
        <f>Tabel4[[#This Row],[20192]]</f>
        <v>0</v>
      </c>
      <c r="F98" s="53">
        <f>Tabel42[[#This Row],[20202]]</f>
        <v>0</v>
      </c>
      <c r="G98" s="53" t="e">
        <f>#REF!</f>
        <v>#REF!</v>
      </c>
      <c r="H98" s="53"/>
      <c r="I98" s="56"/>
    </row>
    <row r="99" spans="1:9" ht="28.9" hidden="1">
      <c r="A99" s="82" t="s">
        <v>141</v>
      </c>
      <c r="B99" s="67" t="s">
        <v>143</v>
      </c>
      <c r="C99" s="80" t="s">
        <v>144</v>
      </c>
      <c r="D99" s="36"/>
      <c r="E99" s="53">
        <f>Tabel4[[#This Row],[20192]]</f>
        <v>0</v>
      </c>
      <c r="F99" s="53">
        <f>Tabel42[[#This Row],[20202]]</f>
        <v>0</v>
      </c>
      <c r="G99" s="53" t="e">
        <f>#REF!</f>
        <v>#REF!</v>
      </c>
      <c r="H99" s="53"/>
      <c r="I99" s="56"/>
    </row>
    <row r="100" spans="1:9" ht="43.15" hidden="1">
      <c r="A100" s="82" t="s">
        <v>141</v>
      </c>
      <c r="B100" s="67" t="s">
        <v>145</v>
      </c>
      <c r="C100" s="81" t="s">
        <v>268</v>
      </c>
      <c r="D100" s="36"/>
      <c r="E100" s="53">
        <f>Tabel4[[#This Row],[20192]]</f>
        <v>0</v>
      </c>
      <c r="F100" s="53">
        <f>Tabel42[[#This Row],[20202]]</f>
        <v>0</v>
      </c>
      <c r="G100" s="53" t="e">
        <f>#REF!</f>
        <v>#REF!</v>
      </c>
      <c r="H100" s="53"/>
      <c r="I100" s="56"/>
    </row>
    <row r="101" spans="1:9" ht="43.15" hidden="1">
      <c r="A101" s="82" t="s">
        <v>141</v>
      </c>
      <c r="B101" s="67" t="s">
        <v>133</v>
      </c>
      <c r="C101" s="81" t="s">
        <v>269</v>
      </c>
      <c r="D101" s="36"/>
      <c r="E101" s="53">
        <f>Tabel4[[#This Row],[20192]]</f>
        <v>0</v>
      </c>
      <c r="F101" s="53">
        <f>Tabel42[[#This Row],[20202]]</f>
        <v>0</v>
      </c>
      <c r="G101" s="53" t="e">
        <f>#REF!</f>
        <v>#REF!</v>
      </c>
      <c r="H101" s="53"/>
      <c r="I101" s="56"/>
    </row>
    <row r="102" spans="1:9" ht="28.9" hidden="1">
      <c r="A102" s="82" t="s">
        <v>141</v>
      </c>
      <c r="B102" s="67" t="s">
        <v>148</v>
      </c>
      <c r="C102" s="80" t="s">
        <v>149</v>
      </c>
      <c r="D102" s="36"/>
      <c r="E102" s="53">
        <f>Tabel4[[#This Row],[20192]]</f>
        <v>0</v>
      </c>
      <c r="F102" s="53">
        <f>Tabel42[[#This Row],[20202]]</f>
        <v>0</v>
      </c>
      <c r="G102" s="53" t="e">
        <f>#REF!</f>
        <v>#REF!</v>
      </c>
      <c r="H102" s="53"/>
      <c r="I102" s="56"/>
    </row>
    <row r="103" spans="1:9" ht="28.9" hidden="1">
      <c r="A103" s="82" t="s">
        <v>141</v>
      </c>
      <c r="B103" s="67" t="s">
        <v>150</v>
      </c>
      <c r="C103" s="81" t="s">
        <v>270</v>
      </c>
      <c r="D103" s="36"/>
      <c r="E103" s="53" t="str">
        <f>Tabel4[[#This Row],[20192]]</f>
        <v>nvt</v>
      </c>
      <c r="F103" s="53">
        <f>Tabel42[[#This Row],[20202]]</f>
        <v>0</v>
      </c>
      <c r="G103" s="53" t="e">
        <f>#REF!</f>
        <v>#REF!</v>
      </c>
      <c r="H103" s="53"/>
      <c r="I103" s="56"/>
    </row>
    <row r="104" spans="1:9" ht="100.9" hidden="1">
      <c r="A104" s="82" t="s">
        <v>141</v>
      </c>
      <c r="B104" s="67" t="s">
        <v>153</v>
      </c>
      <c r="C104" s="80" t="s">
        <v>154</v>
      </c>
      <c r="D104" s="36"/>
      <c r="E104" s="53" t="str">
        <f>Tabel4[[#This Row],[20192]]</f>
        <v>nvt</v>
      </c>
      <c r="F104" s="53">
        <f>Tabel42[[#This Row],[20202]]</f>
        <v>0</v>
      </c>
      <c r="G104" s="53" t="e">
        <f>#REF!</f>
        <v>#REF!</v>
      </c>
      <c r="H104" s="53"/>
      <c r="I104" s="56"/>
    </row>
    <row r="105" spans="1:9" ht="28.9" hidden="1">
      <c r="A105" s="82" t="s">
        <v>141</v>
      </c>
      <c r="B105" s="67" t="s">
        <v>155</v>
      </c>
      <c r="C105" s="80" t="s">
        <v>156</v>
      </c>
      <c r="D105" s="36"/>
      <c r="E105" s="53" t="str">
        <f>Tabel4[[#This Row],[20192]]</f>
        <v>nvt</v>
      </c>
      <c r="F105" s="53">
        <f>Tabel42[[#This Row],[20202]]</f>
        <v>0</v>
      </c>
      <c r="G105" s="53" t="e">
        <f>#REF!</f>
        <v>#REF!</v>
      </c>
      <c r="H105" s="53"/>
      <c r="I105" s="56"/>
    </row>
    <row r="106" spans="1:9" ht="14.45" hidden="1">
      <c r="A106" s="82" t="s">
        <v>157</v>
      </c>
      <c r="B106" s="67" t="s">
        <v>158</v>
      </c>
      <c r="C106" s="80" t="s">
        <v>159</v>
      </c>
      <c r="D106" s="36"/>
      <c r="E106" s="53">
        <f>Tabel4[[#This Row],[20192]]</f>
        <v>0</v>
      </c>
      <c r="F106" s="53">
        <f>Tabel42[[#This Row],[20202]]</f>
        <v>0</v>
      </c>
      <c r="G106" s="53" t="e">
        <f>#REF!</f>
        <v>#REF!</v>
      </c>
      <c r="H106" s="53"/>
      <c r="I106" s="56"/>
    </row>
    <row r="107" spans="1:9" ht="28.9" hidden="1">
      <c r="A107" s="82" t="s">
        <v>157</v>
      </c>
      <c r="B107" s="67" t="s">
        <v>160</v>
      </c>
      <c r="C107" s="80" t="s">
        <v>161</v>
      </c>
      <c r="D107" s="36"/>
      <c r="E107" s="53">
        <f>Tabel4[[#This Row],[20192]]</f>
        <v>0</v>
      </c>
      <c r="F107" s="53">
        <f>Tabel42[[#This Row],[20202]]</f>
        <v>0</v>
      </c>
      <c r="G107" s="53" t="e">
        <f>#REF!</f>
        <v>#REF!</v>
      </c>
      <c r="H107" s="53"/>
      <c r="I107" s="56"/>
    </row>
    <row r="108" spans="1:9" ht="28.9" hidden="1">
      <c r="A108" s="82" t="s">
        <v>157</v>
      </c>
      <c r="B108" s="67" t="s">
        <v>162</v>
      </c>
      <c r="C108" s="80" t="s">
        <v>163</v>
      </c>
      <c r="D108" s="36"/>
      <c r="E108" s="53">
        <f>Tabel4[[#This Row],[20192]]</f>
        <v>0</v>
      </c>
      <c r="F108" s="53">
        <f>Tabel42[[#This Row],[20202]]</f>
        <v>0</v>
      </c>
      <c r="G108" s="53" t="e">
        <f>#REF!</f>
        <v>#REF!</v>
      </c>
      <c r="H108" s="53"/>
      <c r="I108" s="56"/>
    </row>
    <row r="109" spans="1:9" ht="14.45" hidden="1">
      <c r="A109" s="82" t="s">
        <v>157</v>
      </c>
      <c r="B109" s="67" t="s">
        <v>164</v>
      </c>
      <c r="C109" s="80" t="s">
        <v>165</v>
      </c>
      <c r="D109" s="36"/>
      <c r="E109" s="53">
        <f>Tabel4[[#This Row],[20192]]</f>
        <v>0</v>
      </c>
      <c r="F109" s="53">
        <f>Tabel42[[#This Row],[20202]]</f>
        <v>0</v>
      </c>
      <c r="G109" s="53" t="e">
        <f>#REF!</f>
        <v>#REF!</v>
      </c>
      <c r="H109" s="53"/>
      <c r="I109" s="56"/>
    </row>
    <row r="110" spans="1:9" ht="57.6" hidden="1">
      <c r="A110" s="82" t="s">
        <v>157</v>
      </c>
      <c r="B110" s="67" t="s">
        <v>166</v>
      </c>
      <c r="C110" s="80" t="s">
        <v>167</v>
      </c>
      <c r="D110" s="36"/>
      <c r="E110" s="53">
        <f>Tabel4[[#This Row],[20192]]</f>
        <v>0</v>
      </c>
      <c r="F110" s="53">
        <f>Tabel42[[#This Row],[20202]]</f>
        <v>0</v>
      </c>
      <c r="G110" s="53" t="e">
        <f>#REF!</f>
        <v>#REF!</v>
      </c>
      <c r="H110" s="53"/>
      <c r="I110" s="56"/>
    </row>
    <row r="111" spans="1:9" ht="43.15" hidden="1">
      <c r="A111" s="82" t="s">
        <v>157</v>
      </c>
      <c r="B111" s="67" t="s">
        <v>168</v>
      </c>
      <c r="C111" s="80" t="s">
        <v>169</v>
      </c>
      <c r="D111" s="36"/>
      <c r="E111" s="53">
        <f>Tabel4[[#This Row],[20192]]</f>
        <v>0</v>
      </c>
      <c r="F111" s="53">
        <f>Tabel42[[#This Row],[20202]]</f>
        <v>0</v>
      </c>
      <c r="G111" s="53" t="e">
        <f>#REF!</f>
        <v>#REF!</v>
      </c>
      <c r="H111" s="53"/>
      <c r="I111" s="56"/>
    </row>
    <row r="112" spans="1:9" ht="86.45" hidden="1">
      <c r="A112" s="82" t="s">
        <v>157</v>
      </c>
      <c r="B112" s="67" t="s">
        <v>120</v>
      </c>
      <c r="C112" s="80" t="s">
        <v>121</v>
      </c>
      <c r="D112" s="36"/>
      <c r="E112" s="53">
        <f>Tabel4[[#This Row],[20192]]</f>
        <v>0</v>
      </c>
      <c r="F112" s="53">
        <f>Tabel42[[#This Row],[20202]]</f>
        <v>0</v>
      </c>
      <c r="G112" s="53" t="e">
        <f>#REF!</f>
        <v>#REF!</v>
      </c>
      <c r="H112" s="53"/>
      <c r="I112" s="56"/>
    </row>
    <row r="113" spans="1:9" ht="57.6" hidden="1">
      <c r="A113" s="82" t="s">
        <v>157</v>
      </c>
      <c r="B113" s="67" t="s">
        <v>122</v>
      </c>
      <c r="C113" s="80" t="s">
        <v>123</v>
      </c>
      <c r="D113" s="36"/>
      <c r="E113" s="53">
        <f>Tabel4[[#This Row],[20192]]</f>
        <v>0</v>
      </c>
      <c r="F113" s="53">
        <f>Tabel42[[#This Row],[20202]]</f>
        <v>0</v>
      </c>
      <c r="G113" s="53" t="e">
        <f>#REF!</f>
        <v>#REF!</v>
      </c>
      <c r="H113" s="53"/>
      <c r="I113" s="56"/>
    </row>
    <row r="114" spans="1:9" ht="28.9" hidden="1">
      <c r="A114" s="82" t="s">
        <v>157</v>
      </c>
      <c r="B114" s="67" t="s">
        <v>124</v>
      </c>
      <c r="C114" s="80" t="s">
        <v>125</v>
      </c>
      <c r="D114" s="36"/>
      <c r="E114" s="53">
        <f>Tabel4[[#This Row],[20192]]</f>
        <v>0</v>
      </c>
      <c r="F114" s="53">
        <f>Tabel42[[#This Row],[20202]]</f>
        <v>0</v>
      </c>
      <c r="G114" s="53" t="e">
        <f>#REF!</f>
        <v>#REF!</v>
      </c>
      <c r="H114" s="53"/>
      <c r="I114" s="56"/>
    </row>
    <row r="115" spans="1:9" ht="28.9" hidden="1">
      <c r="A115" s="82" t="s">
        <v>170</v>
      </c>
      <c r="B115" s="67" t="s">
        <v>171</v>
      </c>
      <c r="C115" s="80" t="s">
        <v>172</v>
      </c>
      <c r="D115" s="36"/>
      <c r="E115" s="53">
        <f>Tabel4[[#This Row],[20192]]</f>
        <v>0</v>
      </c>
      <c r="F115" s="53">
        <f>Tabel42[[#This Row],[20202]]</f>
        <v>0</v>
      </c>
      <c r="G115" s="53" t="e">
        <f>#REF!</f>
        <v>#REF!</v>
      </c>
      <c r="H115" s="53"/>
      <c r="I115" s="56"/>
    </row>
    <row r="116" spans="1:9" ht="43.15" hidden="1">
      <c r="A116" s="82" t="s">
        <v>170</v>
      </c>
      <c r="B116" s="67" t="s">
        <v>168</v>
      </c>
      <c r="C116" s="80" t="s">
        <v>169</v>
      </c>
      <c r="D116" s="36"/>
      <c r="E116" s="53">
        <f>Tabel4[[#This Row],[20192]]</f>
        <v>0</v>
      </c>
      <c r="F116" s="53">
        <f>Tabel42[[#This Row],[20202]]</f>
        <v>0</v>
      </c>
      <c r="G116" s="53" t="e">
        <f>#REF!</f>
        <v>#REF!</v>
      </c>
      <c r="H116" s="53"/>
      <c r="I116" s="56"/>
    </row>
    <row r="117" spans="1:9" ht="86.45" hidden="1">
      <c r="A117" s="82" t="s">
        <v>170</v>
      </c>
      <c r="B117" s="67" t="s">
        <v>120</v>
      </c>
      <c r="C117" s="80" t="s">
        <v>121</v>
      </c>
      <c r="D117" s="36"/>
      <c r="E117" s="53">
        <f>Tabel4[[#This Row],[20192]]</f>
        <v>0</v>
      </c>
      <c r="F117" s="53">
        <f>Tabel42[[#This Row],[20202]]</f>
        <v>0</v>
      </c>
      <c r="G117" s="53" t="e">
        <f>#REF!</f>
        <v>#REF!</v>
      </c>
      <c r="H117" s="53"/>
      <c r="I117" s="56"/>
    </row>
    <row r="118" spans="1:9" ht="57.6" hidden="1">
      <c r="A118" s="82" t="s">
        <v>170</v>
      </c>
      <c r="B118" s="67" t="s">
        <v>122</v>
      </c>
      <c r="C118" s="80" t="s">
        <v>123</v>
      </c>
      <c r="D118" s="36"/>
      <c r="E118" s="53">
        <f>Tabel4[[#This Row],[20192]]</f>
        <v>0</v>
      </c>
      <c r="F118" s="53">
        <f>Tabel42[[#This Row],[20202]]</f>
        <v>0</v>
      </c>
      <c r="G118" s="53" t="e">
        <f>#REF!</f>
        <v>#REF!</v>
      </c>
      <c r="H118" s="53"/>
      <c r="I118" s="56"/>
    </row>
    <row r="119" spans="1:9" ht="28.9" hidden="1">
      <c r="A119" s="82" t="s">
        <v>170</v>
      </c>
      <c r="B119" s="67" t="s">
        <v>124</v>
      </c>
      <c r="C119" s="80" t="s">
        <v>125</v>
      </c>
      <c r="D119" s="36"/>
      <c r="E119" s="53">
        <f>Tabel4[[#This Row],[20192]]</f>
        <v>0</v>
      </c>
      <c r="F119" s="53">
        <f>Tabel42[[#This Row],[20202]]</f>
        <v>0</v>
      </c>
      <c r="G119" s="53" t="e">
        <f>#REF!</f>
        <v>#REF!</v>
      </c>
      <c r="H119" s="53"/>
      <c r="I119" s="56"/>
    </row>
    <row r="120" spans="1:9" ht="72" hidden="1">
      <c r="A120" s="82" t="s">
        <v>170</v>
      </c>
      <c r="B120" s="67" t="s">
        <v>164</v>
      </c>
      <c r="C120" s="80" t="s">
        <v>173</v>
      </c>
      <c r="D120" s="36"/>
      <c r="E120" s="53">
        <f>Tabel4[[#This Row],[20192]]</f>
        <v>0</v>
      </c>
      <c r="F120" s="53">
        <f>Tabel42[[#This Row],[20202]]</f>
        <v>0</v>
      </c>
      <c r="G120" s="53" t="e">
        <f>#REF!</f>
        <v>#REF!</v>
      </c>
      <c r="H120" s="53"/>
      <c r="I120" s="56"/>
    </row>
    <row r="121" spans="1:9" ht="14.45" hidden="1">
      <c r="A121" s="82" t="s">
        <v>170</v>
      </c>
      <c r="B121" s="67" t="s">
        <v>174</v>
      </c>
      <c r="C121" s="80" t="s">
        <v>175</v>
      </c>
      <c r="D121" s="36"/>
      <c r="E121" s="53">
        <f>Tabel4[[#This Row],[20192]]</f>
        <v>0</v>
      </c>
      <c r="F121" s="53">
        <f>Tabel42[[#This Row],[20202]]</f>
        <v>0</v>
      </c>
      <c r="G121" s="53" t="e">
        <f>#REF!</f>
        <v>#REF!</v>
      </c>
      <c r="H121" s="53"/>
      <c r="I121" s="56"/>
    </row>
    <row r="122" spans="1:9" ht="28.9" hidden="1">
      <c r="A122" s="82" t="s">
        <v>170</v>
      </c>
      <c r="B122" s="67" t="s">
        <v>176</v>
      </c>
      <c r="C122" s="80" t="s">
        <v>177</v>
      </c>
      <c r="D122" s="36"/>
      <c r="E122" s="53">
        <f>Tabel4[[#This Row],[20192]]</f>
        <v>0</v>
      </c>
      <c r="F122" s="53">
        <f>Tabel42[[#This Row],[20202]]</f>
        <v>0</v>
      </c>
      <c r="G122" s="53" t="e">
        <f>#REF!</f>
        <v>#REF!</v>
      </c>
      <c r="H122" s="53"/>
      <c r="I122" s="56"/>
    </row>
    <row r="123" spans="1:9" ht="14.45" hidden="1">
      <c r="A123" s="82" t="s">
        <v>178</v>
      </c>
      <c r="B123" s="67" t="s">
        <v>179</v>
      </c>
      <c r="C123" s="80" t="s">
        <v>180</v>
      </c>
      <c r="D123" s="36"/>
      <c r="E123" s="53">
        <f>Tabel4[[#This Row],[20192]]</f>
        <v>0</v>
      </c>
      <c r="F123" s="53">
        <f>Tabel42[[#This Row],[20202]]</f>
        <v>0</v>
      </c>
      <c r="G123" s="53" t="e">
        <f>#REF!</f>
        <v>#REF!</v>
      </c>
      <c r="H123" s="53"/>
      <c r="I123" s="56"/>
    </row>
    <row r="124" spans="1:9" ht="57.6" hidden="1">
      <c r="A124" s="82" t="s">
        <v>178</v>
      </c>
      <c r="B124" s="67" t="s">
        <v>181</v>
      </c>
      <c r="C124" s="80" t="s">
        <v>182</v>
      </c>
      <c r="D124" s="36"/>
      <c r="E124" s="53">
        <f>Tabel4[[#This Row],[20192]]</f>
        <v>0</v>
      </c>
      <c r="F124" s="53">
        <f>Tabel42[[#This Row],[20202]]</f>
        <v>0</v>
      </c>
      <c r="G124" s="53" t="e">
        <f>#REF!</f>
        <v>#REF!</v>
      </c>
      <c r="H124" s="53"/>
      <c r="I124" s="56"/>
    </row>
    <row r="125" spans="1:9" ht="72" hidden="1">
      <c r="A125" s="82" t="s">
        <v>178</v>
      </c>
      <c r="B125" s="67" t="s">
        <v>183</v>
      </c>
      <c r="C125" s="80" t="s">
        <v>184</v>
      </c>
      <c r="D125" s="36"/>
      <c r="E125" s="53">
        <f>Tabel4[[#This Row],[20192]]</f>
        <v>0</v>
      </c>
      <c r="F125" s="53">
        <f>Tabel42[[#This Row],[20202]]</f>
        <v>0</v>
      </c>
      <c r="G125" s="53" t="e">
        <f>#REF!</f>
        <v>#REF!</v>
      </c>
      <c r="H125" s="53"/>
      <c r="I125" s="56"/>
    </row>
    <row r="126" spans="1:9" ht="72" hidden="1">
      <c r="A126" s="82" t="s">
        <v>178</v>
      </c>
      <c r="B126" s="67" t="s">
        <v>185</v>
      </c>
      <c r="C126" s="80" t="s">
        <v>186</v>
      </c>
      <c r="D126" s="36"/>
      <c r="E126" s="53">
        <f>Tabel4[[#This Row],[20192]]</f>
        <v>0</v>
      </c>
      <c r="F126" s="53">
        <f>Tabel42[[#This Row],[20202]]</f>
        <v>0</v>
      </c>
      <c r="G126" s="53" t="e">
        <f>#REF!</f>
        <v>#REF!</v>
      </c>
      <c r="H126" s="53"/>
      <c r="I126" s="56"/>
    </row>
    <row r="127" spans="1:9" ht="72" hidden="1">
      <c r="A127" s="82" t="s">
        <v>178</v>
      </c>
      <c r="B127" s="67" t="s">
        <v>187</v>
      </c>
      <c r="C127" s="80" t="s">
        <v>188</v>
      </c>
      <c r="D127" s="36"/>
      <c r="E127" s="53">
        <f>Tabel4[[#This Row],[20192]]</f>
        <v>0</v>
      </c>
      <c r="F127" s="53">
        <f>Tabel42[[#This Row],[20202]]</f>
        <v>0</v>
      </c>
      <c r="G127" s="53" t="e">
        <f>#REF!</f>
        <v>#REF!</v>
      </c>
      <c r="H127" s="53"/>
      <c r="I127" s="56"/>
    </row>
    <row r="128" spans="1:9" ht="28.9" hidden="1">
      <c r="A128" s="82" t="s">
        <v>178</v>
      </c>
      <c r="B128" s="67" t="s">
        <v>189</v>
      </c>
      <c r="C128" s="80" t="s">
        <v>190</v>
      </c>
      <c r="D128" s="36"/>
      <c r="E128" s="53">
        <f>Tabel4[[#This Row],[20192]]</f>
        <v>0</v>
      </c>
      <c r="F128" s="53">
        <f>Tabel42[[#This Row],[20202]]</f>
        <v>0</v>
      </c>
      <c r="G128" s="53" t="e">
        <f>#REF!</f>
        <v>#REF!</v>
      </c>
      <c r="H128" s="53"/>
      <c r="I128" s="56"/>
    </row>
    <row r="129" spans="1:9" ht="86.45" hidden="1">
      <c r="A129" s="82" t="s">
        <v>178</v>
      </c>
      <c r="B129" s="67" t="s">
        <v>191</v>
      </c>
      <c r="C129" s="80" t="s">
        <v>192</v>
      </c>
      <c r="D129" s="36"/>
      <c r="E129" s="53">
        <f>Tabel4[[#This Row],[20192]]</f>
        <v>0</v>
      </c>
      <c r="F129" s="53">
        <f>Tabel42[[#This Row],[20202]]</f>
        <v>0</v>
      </c>
      <c r="G129" s="53" t="e">
        <f>#REF!</f>
        <v>#REF!</v>
      </c>
      <c r="H129" s="53"/>
      <c r="I129" s="56"/>
    </row>
    <row r="130" spans="1:9" ht="43.15" hidden="1">
      <c r="A130" s="82" t="s">
        <v>178</v>
      </c>
      <c r="B130" s="67" t="s">
        <v>193</v>
      </c>
      <c r="C130" s="80" t="s">
        <v>194</v>
      </c>
      <c r="D130" s="36"/>
      <c r="E130" s="53">
        <f>Tabel4[[#This Row],[20192]]</f>
        <v>0</v>
      </c>
      <c r="F130" s="53">
        <f>Tabel42[[#This Row],[20202]]</f>
        <v>0</v>
      </c>
      <c r="G130" s="53" t="e">
        <f>#REF!</f>
        <v>#REF!</v>
      </c>
      <c r="H130" s="53"/>
      <c r="I130" s="56"/>
    </row>
    <row r="131" spans="1:9" ht="86.45" hidden="1">
      <c r="A131" s="82" t="s">
        <v>178</v>
      </c>
      <c r="B131" s="67" t="s">
        <v>120</v>
      </c>
      <c r="C131" s="80" t="s">
        <v>121</v>
      </c>
      <c r="D131" s="36"/>
      <c r="E131" s="53">
        <f>Tabel4[[#This Row],[20192]]</f>
        <v>0</v>
      </c>
      <c r="F131" s="53">
        <f>Tabel42[[#This Row],[20202]]</f>
        <v>0</v>
      </c>
      <c r="G131" s="53" t="e">
        <f>#REF!</f>
        <v>#REF!</v>
      </c>
      <c r="H131" s="53"/>
      <c r="I131" s="56"/>
    </row>
    <row r="132" spans="1:9" ht="43.15" hidden="1">
      <c r="A132" s="82" t="s">
        <v>178</v>
      </c>
      <c r="B132" s="67" t="s">
        <v>168</v>
      </c>
      <c r="C132" s="80" t="s">
        <v>169</v>
      </c>
      <c r="D132" s="36"/>
      <c r="E132" s="53">
        <f>Tabel4[[#This Row],[20192]]</f>
        <v>0</v>
      </c>
      <c r="F132" s="53">
        <f>Tabel42[[#This Row],[20202]]</f>
        <v>0</v>
      </c>
      <c r="G132" s="53" t="e">
        <f>#REF!</f>
        <v>#REF!</v>
      </c>
      <c r="H132" s="53"/>
      <c r="I132" s="56"/>
    </row>
    <row r="133" spans="1:9" ht="57.6" hidden="1">
      <c r="A133" s="82" t="s">
        <v>178</v>
      </c>
      <c r="B133" s="67" t="s">
        <v>122</v>
      </c>
      <c r="C133" s="80" t="s">
        <v>123</v>
      </c>
      <c r="D133" s="36"/>
      <c r="E133" s="53">
        <f>Tabel4[[#This Row],[20192]]</f>
        <v>0</v>
      </c>
      <c r="F133" s="53">
        <f>Tabel42[[#This Row],[20202]]</f>
        <v>0</v>
      </c>
      <c r="G133" s="53" t="e">
        <f>#REF!</f>
        <v>#REF!</v>
      </c>
      <c r="H133" s="53"/>
      <c r="I133" s="56"/>
    </row>
    <row r="134" spans="1:9" ht="28.9" hidden="1">
      <c r="A134" s="82" t="s">
        <v>178</v>
      </c>
      <c r="B134" s="67" t="s">
        <v>124</v>
      </c>
      <c r="C134" s="80" t="s">
        <v>125</v>
      </c>
      <c r="D134" s="36"/>
      <c r="E134" s="53">
        <f>Tabel4[[#This Row],[20192]]</f>
        <v>0</v>
      </c>
      <c r="F134" s="53">
        <f>Tabel42[[#This Row],[20202]]</f>
        <v>0</v>
      </c>
      <c r="G134" s="53" t="e">
        <f>#REF!</f>
        <v>#REF!</v>
      </c>
      <c r="H134" s="53"/>
      <c r="I134" s="56"/>
    </row>
    <row r="135" spans="1:9" ht="14.45" hidden="1">
      <c r="A135" s="82" t="s">
        <v>178</v>
      </c>
      <c r="B135" s="67" t="s">
        <v>195</v>
      </c>
      <c r="C135" s="80" t="s">
        <v>196</v>
      </c>
      <c r="D135" s="36"/>
      <c r="E135" s="53">
        <f>Tabel4[[#This Row],[20192]]</f>
        <v>0</v>
      </c>
      <c r="F135" s="53">
        <f>Tabel42[[#This Row],[20202]]</f>
        <v>0</v>
      </c>
      <c r="G135" s="53" t="e">
        <f>#REF!</f>
        <v>#REF!</v>
      </c>
      <c r="H135" s="53"/>
      <c r="I135" s="56"/>
    </row>
    <row r="136" spans="1:9" ht="43.15" hidden="1">
      <c r="A136" s="82" t="s">
        <v>178</v>
      </c>
      <c r="B136" s="67" t="s">
        <v>197</v>
      </c>
      <c r="C136" s="80" t="s">
        <v>198</v>
      </c>
      <c r="D136" s="36"/>
      <c r="E136" s="53">
        <f>Tabel4[[#This Row],[20192]]</f>
        <v>0</v>
      </c>
      <c r="F136" s="53">
        <f>Tabel42[[#This Row],[20202]]</f>
        <v>0</v>
      </c>
      <c r="G136" s="53" t="e">
        <f>#REF!</f>
        <v>#REF!</v>
      </c>
      <c r="H136" s="53"/>
      <c r="I136" s="56"/>
    </row>
    <row r="137" spans="1:9" ht="43.15" hidden="1">
      <c r="A137" s="82" t="s">
        <v>199</v>
      </c>
      <c r="B137" s="67" t="s">
        <v>197</v>
      </c>
      <c r="C137" s="80" t="s">
        <v>198</v>
      </c>
      <c r="D137" s="36"/>
      <c r="E137" s="53">
        <f>Tabel4[[#This Row],[20192]]</f>
        <v>0</v>
      </c>
      <c r="F137" s="53">
        <f>Tabel42[[#This Row],[20202]]</f>
        <v>0</v>
      </c>
      <c r="G137" s="53" t="e">
        <f>#REF!</f>
        <v>#REF!</v>
      </c>
      <c r="H137" s="53"/>
      <c r="I137" s="56"/>
    </row>
    <row r="138" spans="1:9" ht="100.9" hidden="1">
      <c r="A138" s="82" t="s">
        <v>199</v>
      </c>
      <c r="B138" s="67" t="s">
        <v>200</v>
      </c>
      <c r="C138" s="80" t="s">
        <v>201</v>
      </c>
      <c r="D138" s="36"/>
      <c r="E138" s="53">
        <f>Tabel4[[#This Row],[20192]]</f>
        <v>0</v>
      </c>
      <c r="F138" s="53">
        <f>Tabel42[[#This Row],[20202]]</f>
        <v>0</v>
      </c>
      <c r="G138" s="53" t="e">
        <f>#REF!</f>
        <v>#REF!</v>
      </c>
      <c r="H138" s="53"/>
      <c r="I138" s="56"/>
    </row>
    <row r="139" spans="1:9" ht="100.9" hidden="1">
      <c r="A139" s="82" t="s">
        <v>199</v>
      </c>
      <c r="B139" s="67" t="s">
        <v>202</v>
      </c>
      <c r="C139" s="80" t="s">
        <v>203</v>
      </c>
      <c r="D139" s="36"/>
      <c r="E139" s="53">
        <f>Tabel4[[#This Row],[20192]]</f>
        <v>0</v>
      </c>
      <c r="F139" s="53">
        <f>Tabel42[[#This Row],[20202]]</f>
        <v>0</v>
      </c>
      <c r="G139" s="53" t="e">
        <f>#REF!</f>
        <v>#REF!</v>
      </c>
      <c r="H139" s="53"/>
      <c r="I139" s="56"/>
    </row>
    <row r="140" spans="1:9" ht="57.6" hidden="1">
      <c r="A140" s="82" t="s">
        <v>199</v>
      </c>
      <c r="B140" s="67" t="s">
        <v>204</v>
      </c>
      <c r="C140" s="80" t="s">
        <v>205</v>
      </c>
      <c r="D140" s="36"/>
      <c r="E140" s="53">
        <f>Tabel4[[#This Row],[20192]]</f>
        <v>0</v>
      </c>
      <c r="F140" s="53">
        <f>Tabel42[[#This Row],[20202]]</f>
        <v>0</v>
      </c>
      <c r="G140" s="53" t="e">
        <f>#REF!</f>
        <v>#REF!</v>
      </c>
      <c r="H140" s="53"/>
      <c r="I140" s="56"/>
    </row>
    <row r="141" spans="1:9" ht="28.9" hidden="1">
      <c r="A141" s="82" t="s">
        <v>199</v>
      </c>
      <c r="B141" s="67" t="s">
        <v>206</v>
      </c>
      <c r="C141" s="80" t="s">
        <v>207</v>
      </c>
      <c r="D141" s="36"/>
      <c r="E141" s="53">
        <f>Tabel4[[#This Row],[20192]]</f>
        <v>0</v>
      </c>
      <c r="F141" s="53">
        <f>Tabel42[[#This Row],[20202]]</f>
        <v>0</v>
      </c>
      <c r="G141" s="53" t="e">
        <f>#REF!</f>
        <v>#REF!</v>
      </c>
      <c r="H141" s="53"/>
      <c r="I141" s="56"/>
    </row>
    <row r="142" spans="1:9" ht="57.6" hidden="1">
      <c r="A142" s="82" t="s">
        <v>199</v>
      </c>
      <c r="B142" s="67" t="s">
        <v>208</v>
      </c>
      <c r="C142" s="80" t="s">
        <v>209</v>
      </c>
      <c r="D142" s="36"/>
      <c r="E142" s="53">
        <f>Tabel4[[#This Row],[20192]]</f>
        <v>0</v>
      </c>
      <c r="F142" s="53">
        <f>Tabel42[[#This Row],[20202]]</f>
        <v>0</v>
      </c>
      <c r="G142" s="53" t="e">
        <f>#REF!</f>
        <v>#REF!</v>
      </c>
      <c r="H142" s="53"/>
      <c r="I142" s="56"/>
    </row>
    <row r="143" spans="1:9" ht="43.15" hidden="1">
      <c r="A143" s="82" t="s">
        <v>199</v>
      </c>
      <c r="B143" s="67" t="s">
        <v>210</v>
      </c>
      <c r="C143" s="80" t="s">
        <v>211</v>
      </c>
      <c r="D143" s="36"/>
      <c r="E143" s="53">
        <f>Tabel4[[#This Row],[20192]]</f>
        <v>0</v>
      </c>
      <c r="F143" s="53">
        <f>Tabel42[[#This Row],[20202]]</f>
        <v>0</v>
      </c>
      <c r="G143" s="53" t="e">
        <f>#REF!</f>
        <v>#REF!</v>
      </c>
      <c r="H143" s="53"/>
      <c r="I143" s="56"/>
    </row>
    <row r="144" spans="1:9" ht="28.9" hidden="1">
      <c r="A144" s="82" t="s">
        <v>199</v>
      </c>
      <c r="B144" s="67" t="s">
        <v>212</v>
      </c>
      <c r="C144" s="80" t="s">
        <v>213</v>
      </c>
      <c r="D144" s="36"/>
      <c r="E144" s="53">
        <f>Tabel4[[#This Row],[20192]]</f>
        <v>0</v>
      </c>
      <c r="F144" s="53">
        <f>Tabel42[[#This Row],[20202]]</f>
        <v>0</v>
      </c>
      <c r="G144" s="53" t="e">
        <f>#REF!</f>
        <v>#REF!</v>
      </c>
      <c r="H144" s="53"/>
      <c r="I144" s="56"/>
    </row>
    <row r="145" spans="1:9" ht="43.15">
      <c r="A145" s="122" t="s">
        <v>217</v>
      </c>
      <c r="B145" s="128" t="s">
        <v>215</v>
      </c>
      <c r="C145" s="124" t="s">
        <v>216</v>
      </c>
      <c r="D145" s="125"/>
      <c r="E145" s="126">
        <f>Tabel4[[#This Row],[20192]]</f>
        <v>0</v>
      </c>
      <c r="F145" s="126">
        <f>Tabel42[[#This Row],[20202]]</f>
        <v>0</v>
      </c>
      <c r="G145" s="126"/>
      <c r="H145" s="126"/>
      <c r="I145" s="127"/>
    </row>
    <row r="146" spans="1:9" ht="57.6">
      <c r="A146" s="122" t="s">
        <v>217</v>
      </c>
      <c r="B146" s="128" t="s">
        <v>218</v>
      </c>
      <c r="C146" s="129" t="s">
        <v>219</v>
      </c>
      <c r="D146" s="125"/>
      <c r="E146" s="126">
        <f>Tabel4[[#This Row],[20192]]</f>
        <v>0</v>
      </c>
      <c r="F146" s="126">
        <f>Tabel42[[#This Row],[20202]]</f>
        <v>0</v>
      </c>
      <c r="G146" s="126"/>
      <c r="H146" s="126"/>
      <c r="I146" s="127"/>
    </row>
    <row r="147" spans="1:9" ht="57.6">
      <c r="A147" s="122" t="s">
        <v>217</v>
      </c>
      <c r="B147" s="128" t="s">
        <v>220</v>
      </c>
      <c r="C147" s="129" t="s">
        <v>221</v>
      </c>
      <c r="D147" s="125"/>
      <c r="E147" s="126">
        <f>Tabel4[[#This Row],[20192]]</f>
        <v>0</v>
      </c>
      <c r="F147" s="126">
        <f>Tabel42[[#This Row],[20202]]</f>
        <v>0</v>
      </c>
      <c r="G147" s="126"/>
      <c r="H147" s="126"/>
      <c r="I147" s="127"/>
    </row>
    <row r="148" spans="1:9" ht="57.6">
      <c r="A148" s="82" t="s">
        <v>217</v>
      </c>
      <c r="B148" s="67" t="s">
        <v>222</v>
      </c>
      <c r="C148" s="130" t="s">
        <v>223</v>
      </c>
      <c r="D148" s="36"/>
      <c r="E148" s="53">
        <f>Tabel4[[#This Row],[20192]]</f>
        <v>0</v>
      </c>
      <c r="F148" s="53">
        <f>Tabel42[[#This Row],[20202]]</f>
        <v>0</v>
      </c>
      <c r="G148" s="53"/>
      <c r="H148" s="53"/>
      <c r="I148" s="56"/>
    </row>
    <row r="149" spans="1:9" ht="72">
      <c r="A149" s="82" t="s">
        <v>217</v>
      </c>
      <c r="B149" s="67" t="s">
        <v>224</v>
      </c>
      <c r="C149" s="130" t="s">
        <v>225</v>
      </c>
      <c r="D149" s="36"/>
      <c r="E149" s="53">
        <f>Tabel4[[#This Row],[20192]]</f>
        <v>0</v>
      </c>
      <c r="F149" s="53">
        <f>Tabel42[[#This Row],[20202]]</f>
        <v>0</v>
      </c>
      <c r="G149" s="53"/>
      <c r="H149" s="53"/>
      <c r="I149" s="56"/>
    </row>
    <row r="150" spans="1:9" ht="86.45">
      <c r="A150" s="122" t="s">
        <v>217</v>
      </c>
      <c r="B150" s="128" t="s">
        <v>226</v>
      </c>
      <c r="C150" s="129" t="s">
        <v>227</v>
      </c>
      <c r="D150" s="125"/>
      <c r="E150" s="126">
        <f>Tabel4[[#This Row],[20192]]</f>
        <v>0</v>
      </c>
      <c r="F150" s="126">
        <f>Tabel42[[#This Row],[20202]]</f>
        <v>0</v>
      </c>
      <c r="G150" s="126"/>
      <c r="H150" s="126"/>
      <c r="I150" s="127"/>
    </row>
    <row r="151" spans="1:9" ht="86.45">
      <c r="A151" s="82" t="s">
        <v>217</v>
      </c>
      <c r="B151" s="67" t="s">
        <v>127</v>
      </c>
      <c r="C151" s="130" t="s">
        <v>228</v>
      </c>
      <c r="D151" s="36"/>
      <c r="E151" s="53">
        <f>Tabel4[[#This Row],[20192]]</f>
        <v>0</v>
      </c>
      <c r="F151" s="53">
        <f>Tabel42[[#This Row],[20202]]</f>
        <v>0</v>
      </c>
      <c r="G151" s="53"/>
      <c r="H151" s="53"/>
      <c r="I151" s="56"/>
    </row>
    <row r="152" spans="1:9" ht="144">
      <c r="A152" s="82" t="s">
        <v>217</v>
      </c>
      <c r="B152" s="67" t="s">
        <v>229</v>
      </c>
      <c r="C152" s="130" t="s">
        <v>230</v>
      </c>
      <c r="D152" s="36"/>
      <c r="E152" s="53">
        <f>Tabel4[[#This Row],[20192]]</f>
        <v>0</v>
      </c>
      <c r="F152" s="53">
        <f>Tabel42[[#This Row],[20202]]</f>
        <v>0</v>
      </c>
      <c r="G152" s="53"/>
      <c r="H152" s="53"/>
      <c r="I152" s="56"/>
    </row>
    <row r="153" spans="1:9" ht="100.9">
      <c r="A153" s="122" t="s">
        <v>217</v>
      </c>
      <c r="B153" s="128" t="s">
        <v>231</v>
      </c>
      <c r="C153" s="129" t="s">
        <v>232</v>
      </c>
      <c r="D153" s="125"/>
      <c r="E153" s="126">
        <f>Tabel4[[#This Row],[20192]]</f>
        <v>0</v>
      </c>
      <c r="F153" s="126">
        <f>Tabel42[[#This Row],[20202]]</f>
        <v>0</v>
      </c>
      <c r="G153" s="126"/>
      <c r="H153" s="126"/>
      <c r="I153" s="127"/>
    </row>
    <row r="154" spans="1:9" ht="86.45">
      <c r="A154" s="122" t="s">
        <v>217</v>
      </c>
      <c r="B154" s="123" t="s">
        <v>233</v>
      </c>
      <c r="C154" s="129" t="s">
        <v>234</v>
      </c>
      <c r="D154" s="125"/>
      <c r="E154" s="126">
        <f>Tabel4[[#This Row],[20192]]</f>
        <v>0</v>
      </c>
      <c r="F154" s="126">
        <f>Tabel42[[#This Row],[20202]]</f>
        <v>0</v>
      </c>
      <c r="G154" s="126"/>
      <c r="H154" s="126"/>
      <c r="I154" s="127"/>
    </row>
    <row r="155" spans="1:9" ht="43.15">
      <c r="A155" s="122" t="s">
        <v>217</v>
      </c>
      <c r="B155" s="123" t="s">
        <v>235</v>
      </c>
      <c r="C155" s="129" t="s">
        <v>236</v>
      </c>
      <c r="D155" s="125"/>
      <c r="E155" s="126">
        <f>Tabel4[[#This Row],[20192]]</f>
        <v>0</v>
      </c>
      <c r="F155" s="126">
        <f>Tabel42[[#This Row],[20202]]</f>
        <v>0</v>
      </c>
      <c r="G155" s="126"/>
      <c r="H155" s="126"/>
      <c r="I155" s="127"/>
    </row>
    <row r="156" spans="1:9" ht="43.15">
      <c r="A156" s="122" t="s">
        <v>217</v>
      </c>
      <c r="B156" s="123" t="s">
        <v>122</v>
      </c>
      <c r="C156" s="129" t="s">
        <v>237</v>
      </c>
      <c r="D156" s="125"/>
      <c r="E156" s="126">
        <f>Tabel4[[#This Row],[20192]]</f>
        <v>0</v>
      </c>
      <c r="F156" s="126">
        <f>Tabel42[[#This Row],[20202]]</f>
        <v>0</v>
      </c>
      <c r="G156" s="126"/>
      <c r="H156" s="126"/>
      <c r="I156" s="127"/>
    </row>
    <row r="157" spans="1:9" ht="110.45" customHeight="1">
      <c r="A157" s="43"/>
      <c r="B157" s="67" t="s">
        <v>238</v>
      </c>
      <c r="C157" s="78" t="s">
        <v>239</v>
      </c>
      <c r="D157" s="36"/>
      <c r="E157" s="53">
        <f>'POP 2019'!E157</f>
        <v>0</v>
      </c>
      <c r="F157" s="53">
        <f>'POP 2020'!F157</f>
        <v>0</v>
      </c>
      <c r="G157" s="53">
        <f>'POP 2021'!G144</f>
        <v>0</v>
      </c>
      <c r="H157" s="53"/>
      <c r="I157" s="56"/>
    </row>
    <row r="158" spans="1:9" ht="132.6" customHeight="1">
      <c r="A158" s="43"/>
      <c r="B158" s="67" t="s">
        <v>240</v>
      </c>
      <c r="C158" s="45" t="s">
        <v>241</v>
      </c>
      <c r="D158" s="36"/>
      <c r="E158" s="53">
        <f>'POP 2019'!E158</f>
        <v>0</v>
      </c>
      <c r="F158" s="53">
        <f>'POP 2020'!F158</f>
        <v>0</v>
      </c>
      <c r="G158" s="53">
        <f>'POP 2021'!G145</f>
        <v>0</v>
      </c>
      <c r="H158" s="53"/>
      <c r="I158" s="56"/>
    </row>
    <row r="159" spans="1:9" ht="129.6">
      <c r="A159" s="75"/>
      <c r="B159" s="83" t="s">
        <v>242</v>
      </c>
      <c r="C159" s="79" t="s">
        <v>243</v>
      </c>
      <c r="D159" s="44"/>
      <c r="E159" s="53">
        <f>'POP 2019'!E159</f>
        <v>0</v>
      </c>
      <c r="F159" s="53">
        <f>'POP 2020'!F159</f>
        <v>0</v>
      </c>
      <c r="G159" s="53">
        <f>'POP 2021'!G146</f>
        <v>0</v>
      </c>
      <c r="H159" s="54"/>
      <c r="I159" s="58"/>
    </row>
    <row r="160" spans="1:9" ht="49.9" customHeight="1">
      <c r="A160"/>
      <c r="B160" s="83" t="s">
        <v>27</v>
      </c>
      <c r="C160" s="60"/>
      <c r="D160" s="44"/>
      <c r="E160" s="53">
        <f>'POP 2019'!E160</f>
        <v>0</v>
      </c>
      <c r="F160" s="53" t="str">
        <f>'POP 2020'!F160</f>
        <v>nvt</v>
      </c>
      <c r="G160" s="53">
        <f>'POP 2021'!G147</f>
        <v>0</v>
      </c>
      <c r="H160" s="54" t="s">
        <v>152</v>
      </c>
      <c r="I160" s="58"/>
    </row>
    <row r="161" spans="1:9" ht="15">
      <c r="A161"/>
      <c r="B161" s="62"/>
      <c r="C161" s="63"/>
      <c r="E161" s="61"/>
      <c r="F161" s="61"/>
      <c r="G161" s="61"/>
      <c r="H161" s="61"/>
      <c r="I161" s="61"/>
    </row>
    <row r="162" spans="1:9" ht="18">
      <c r="A162"/>
      <c r="B162" s="12" t="s">
        <v>245</v>
      </c>
      <c r="C162" s="63"/>
      <c r="E162" s="61"/>
      <c r="F162" s="61"/>
      <c r="G162" s="61"/>
      <c r="H162" s="61"/>
      <c r="I162" s="61"/>
    </row>
    <row r="163" spans="1:9" ht="48" customHeight="1">
      <c r="A163"/>
      <c r="B163" s="64" t="s">
        <v>246</v>
      </c>
      <c r="C163" s="173"/>
      <c r="D163" s="173"/>
      <c r="E163" s="173"/>
      <c r="F163" s="173"/>
      <c r="G163" s="173"/>
      <c r="H163" s="173"/>
      <c r="I163" s="174"/>
    </row>
    <row r="164" spans="1:9" ht="49.15" customHeight="1">
      <c r="A164"/>
      <c r="B164" s="65" t="s">
        <v>247</v>
      </c>
      <c r="C164" s="173"/>
      <c r="D164" s="173"/>
      <c r="E164" s="173"/>
      <c r="F164" s="173"/>
      <c r="G164" s="173"/>
      <c r="H164" s="173"/>
      <c r="I164" s="174"/>
    </row>
    <row r="165" spans="1:9" ht="15">
      <c r="A165"/>
      <c r="B165" s="62"/>
      <c r="C165" s="63"/>
      <c r="E165" s="61"/>
      <c r="F165" s="61"/>
      <c r="G165" s="61"/>
      <c r="H165" s="61"/>
      <c r="I165" s="61"/>
    </row>
    <row r="166" spans="1:9" ht="16.899999999999999" customHeight="1">
      <c r="B166" s="12" t="s">
        <v>248</v>
      </c>
    </row>
    <row r="168" spans="1:9" ht="27" customHeight="1">
      <c r="B168" s="35" t="s">
        <v>249</v>
      </c>
      <c r="C168" s="35" t="s">
        <v>250</v>
      </c>
      <c r="D168" s="169" t="s">
        <v>251</v>
      </c>
      <c r="E168" s="169"/>
      <c r="F168" s="179" t="s">
        <v>252</v>
      </c>
      <c r="G168" s="180"/>
      <c r="H168" s="181" t="s">
        <v>253</v>
      </c>
      <c r="I168" s="182"/>
    </row>
    <row r="169" spans="1:9" ht="14.45">
      <c r="B169" s="87"/>
      <c r="C169" s="68"/>
      <c r="D169" s="170"/>
      <c r="E169" s="171"/>
      <c r="F169" s="177"/>
      <c r="G169" s="178"/>
      <c r="H169" s="175"/>
      <c r="I169" s="176"/>
    </row>
    <row r="170" spans="1:9" ht="45" customHeight="1">
      <c r="B170" s="87"/>
      <c r="C170" s="68"/>
      <c r="D170" s="170"/>
      <c r="E170" s="171"/>
      <c r="F170" s="177"/>
      <c r="G170" s="178"/>
      <c r="H170" s="175"/>
      <c r="I170" s="176"/>
    </row>
    <row r="171" spans="1:9" ht="45" customHeight="1">
      <c r="B171" s="68"/>
      <c r="C171" s="68"/>
      <c r="D171" s="170"/>
      <c r="E171" s="171"/>
      <c r="F171" s="177"/>
      <c r="G171" s="178"/>
      <c r="H171" s="175"/>
      <c r="I171" s="176"/>
    </row>
    <row r="172" spans="1:9" ht="45" customHeight="1">
      <c r="B172" s="68"/>
      <c r="C172" s="68"/>
      <c r="D172" s="170"/>
      <c r="E172" s="171"/>
      <c r="F172" s="177"/>
      <c r="G172" s="178"/>
      <c r="H172" s="175"/>
      <c r="I172" s="176"/>
    </row>
    <row r="173" spans="1:9" ht="16.899999999999999" customHeight="1">
      <c r="B173" s="73" t="s">
        <v>254</v>
      </c>
      <c r="C173" s="71"/>
      <c r="D173" s="71"/>
      <c r="E173" s="71"/>
      <c r="F173" s="72"/>
    </row>
    <row r="174" spans="1:9" ht="45" customHeight="1">
      <c r="B174" s="68"/>
      <c r="C174" s="68"/>
      <c r="D174" s="170"/>
      <c r="E174" s="171"/>
      <c r="F174" s="177"/>
      <c r="G174" s="178"/>
      <c r="H174" s="175"/>
      <c r="I174" s="176"/>
    </row>
    <row r="175" spans="1:9" ht="45" customHeight="1">
      <c r="B175" s="68"/>
      <c r="C175" s="68"/>
      <c r="D175" s="170"/>
      <c r="E175" s="171"/>
      <c r="F175" s="177"/>
      <c r="G175" s="178"/>
      <c r="H175" s="175"/>
      <c r="I175" s="176"/>
    </row>
    <row r="176" spans="1:9" ht="16.899999999999999" customHeight="1">
      <c r="B176" s="74" t="s">
        <v>255</v>
      </c>
      <c r="C176" s="71"/>
      <c r="D176" s="71"/>
      <c r="E176" s="71"/>
      <c r="F176" s="72"/>
    </row>
    <row r="177" spans="2:9" ht="45" customHeight="1">
      <c r="B177" s="191"/>
      <c r="C177" s="173"/>
      <c r="D177" s="173"/>
      <c r="E177" s="173"/>
      <c r="F177" s="173"/>
      <c r="G177" s="173"/>
      <c r="H177" s="173"/>
      <c r="I177" s="174"/>
    </row>
    <row r="179" spans="2:9" ht="16.899999999999999" customHeight="1">
      <c r="B179" s="49" t="s">
        <v>256</v>
      </c>
    </row>
    <row r="181" spans="2:9" ht="26.45" customHeight="1">
      <c r="B181" s="48" t="s">
        <v>257</v>
      </c>
      <c r="C181" s="187" t="s">
        <v>258</v>
      </c>
      <c r="D181" s="187"/>
      <c r="E181" s="187"/>
      <c r="F181" s="66"/>
      <c r="G181" s="186" t="s">
        <v>253</v>
      </c>
      <c r="H181" s="186"/>
      <c r="I181" s="69" t="s">
        <v>259</v>
      </c>
    </row>
    <row r="182" spans="2:9" ht="45" customHeight="1">
      <c r="B182" s="68" t="str">
        <f>IF(B169="","",B169)</f>
        <v/>
      </c>
      <c r="C182" s="183"/>
      <c r="D182" s="184"/>
      <c r="E182" s="184"/>
      <c r="F182" s="185"/>
      <c r="G182" s="170" t="str">
        <f>IF(H169="","",H169)</f>
        <v/>
      </c>
      <c r="H182" s="171"/>
      <c r="I182" s="85"/>
    </row>
    <row r="183" spans="2:9" ht="45" customHeight="1">
      <c r="B183" s="68" t="str">
        <f t="shared" ref="B183:B185" si="0">IF(B170="","",B170)</f>
        <v/>
      </c>
      <c r="C183" s="183"/>
      <c r="D183" s="184"/>
      <c r="E183" s="184"/>
      <c r="F183" s="185"/>
      <c r="G183" s="170" t="str">
        <f t="shared" ref="G183:G185" si="1">IF(H170="","",H170)</f>
        <v/>
      </c>
      <c r="H183" s="171"/>
      <c r="I183" s="85"/>
    </row>
    <row r="184" spans="2:9" ht="45" customHeight="1">
      <c r="B184" s="68" t="str">
        <f t="shared" si="0"/>
        <v/>
      </c>
      <c r="C184" s="183"/>
      <c r="D184" s="184"/>
      <c r="E184" s="184"/>
      <c r="F184" s="185"/>
      <c r="G184" s="170" t="str">
        <f t="shared" si="1"/>
        <v/>
      </c>
      <c r="H184" s="171"/>
      <c r="I184" s="85"/>
    </row>
    <row r="185" spans="2:9" ht="45" customHeight="1">
      <c r="B185" s="68" t="str">
        <f t="shared" si="0"/>
        <v/>
      </c>
      <c r="C185" s="183"/>
      <c r="D185" s="184"/>
      <c r="E185" s="184"/>
      <c r="F185" s="185"/>
      <c r="G185" s="170" t="str">
        <f t="shared" si="1"/>
        <v/>
      </c>
      <c r="H185" s="171"/>
      <c r="I185" s="85"/>
    </row>
    <row r="186" spans="2:9" ht="45" customHeight="1">
      <c r="B186" s="68" t="str">
        <f>IF(B174="","",B174)</f>
        <v/>
      </c>
      <c r="C186" s="183"/>
      <c r="D186" s="184"/>
      <c r="E186" s="184"/>
      <c r="F186" s="185"/>
      <c r="G186" s="170" t="str">
        <f>IF(H174="","",H174)</f>
        <v/>
      </c>
      <c r="H186" s="171"/>
      <c r="I186" s="85"/>
    </row>
    <row r="187" spans="2:9" ht="45" customHeight="1">
      <c r="B187" s="68" t="str">
        <f>IF(B175="","",B175)</f>
        <v/>
      </c>
      <c r="C187" s="183"/>
      <c r="D187" s="184"/>
      <c r="E187" s="184"/>
      <c r="F187" s="185"/>
      <c r="G187" s="170" t="str">
        <f>IF(H175="","",H175)</f>
        <v/>
      </c>
      <c r="H187" s="171"/>
      <c r="I187" s="85"/>
    </row>
    <row r="190" spans="2:9" ht="16.899999999999999" customHeight="1">
      <c r="B190" s="50" t="s">
        <v>262</v>
      </c>
    </row>
    <row r="192" spans="2:9" ht="26.45" customHeight="1">
      <c r="B192" s="51" t="s">
        <v>257</v>
      </c>
      <c r="C192" s="188" t="s">
        <v>258</v>
      </c>
      <c r="D192" s="188"/>
      <c r="E192" s="188"/>
      <c r="F192" s="188"/>
      <c r="G192" s="190" t="s">
        <v>253</v>
      </c>
      <c r="H192" s="190"/>
      <c r="I192" s="70" t="s">
        <v>259</v>
      </c>
    </row>
    <row r="193" spans="2:9" ht="45" customHeight="1">
      <c r="B193" s="68" t="str">
        <f>IF(I182="Ja",B182,"")</f>
        <v/>
      </c>
      <c r="C193" s="170"/>
      <c r="D193" s="189"/>
      <c r="E193" s="189"/>
      <c r="F193" s="171"/>
      <c r="G193" s="175" t="str">
        <f>IF(I182="Ja",G182,"")</f>
        <v/>
      </c>
      <c r="H193" s="176"/>
      <c r="I193" s="85"/>
    </row>
    <row r="194" spans="2:9" ht="45" customHeight="1">
      <c r="B194" s="68" t="str">
        <f t="shared" ref="B194:B198" si="2">IF(I183="Ja",B183,"")</f>
        <v/>
      </c>
      <c r="C194" s="170"/>
      <c r="D194" s="189"/>
      <c r="E194" s="189"/>
      <c r="F194" s="171"/>
      <c r="G194" s="175" t="str">
        <f t="shared" ref="G194:G198" si="3">IF(I183="Ja",G183,"")</f>
        <v/>
      </c>
      <c r="H194" s="176"/>
      <c r="I194" s="85"/>
    </row>
    <row r="195" spans="2:9" ht="45" customHeight="1">
      <c r="B195" s="68" t="str">
        <f t="shared" si="2"/>
        <v/>
      </c>
      <c r="C195" s="170"/>
      <c r="D195" s="189"/>
      <c r="E195" s="189"/>
      <c r="F195" s="171"/>
      <c r="G195" s="175" t="str">
        <f t="shared" si="3"/>
        <v/>
      </c>
      <c r="H195" s="176"/>
      <c r="I195" s="85"/>
    </row>
    <row r="196" spans="2:9" ht="45" customHeight="1">
      <c r="B196" s="68" t="str">
        <f t="shared" si="2"/>
        <v/>
      </c>
      <c r="C196" s="170"/>
      <c r="D196" s="189"/>
      <c r="E196" s="189"/>
      <c r="F196" s="171"/>
      <c r="G196" s="175" t="str">
        <f t="shared" si="3"/>
        <v/>
      </c>
      <c r="H196" s="176"/>
      <c r="I196" s="85"/>
    </row>
    <row r="197" spans="2:9" ht="45" customHeight="1">
      <c r="B197" s="68" t="str">
        <f t="shared" si="2"/>
        <v/>
      </c>
      <c r="C197" s="170"/>
      <c r="D197" s="189"/>
      <c r="E197" s="189"/>
      <c r="F197" s="171"/>
      <c r="G197" s="175" t="str">
        <f t="shared" si="3"/>
        <v/>
      </c>
      <c r="H197" s="176"/>
      <c r="I197" s="85"/>
    </row>
    <row r="198" spans="2:9" ht="45" customHeight="1">
      <c r="B198" s="68" t="str">
        <f t="shared" si="2"/>
        <v/>
      </c>
      <c r="C198" s="170"/>
      <c r="D198" s="189"/>
      <c r="E198" s="189"/>
      <c r="F198" s="171"/>
      <c r="G198" s="175" t="str">
        <f t="shared" si="3"/>
        <v/>
      </c>
      <c r="H198" s="176"/>
      <c r="I198" s="85"/>
    </row>
  </sheetData>
  <mergeCells count="87">
    <mergeCell ref="E9:F9"/>
    <mergeCell ref="G4:I4"/>
    <mergeCell ref="E5:F5"/>
    <mergeCell ref="E6:F6"/>
    <mergeCell ref="E7:F7"/>
    <mergeCell ref="E8:F8"/>
    <mergeCell ref="C26:I26"/>
    <mergeCell ref="C13:I13"/>
    <mergeCell ref="C14:I14"/>
    <mergeCell ref="C15:I15"/>
    <mergeCell ref="C18:I18"/>
    <mergeCell ref="C19:I19"/>
    <mergeCell ref="C20:I20"/>
    <mergeCell ref="C21:I21"/>
    <mergeCell ref="C22:I22"/>
    <mergeCell ref="C23:I23"/>
    <mergeCell ref="C24:I24"/>
    <mergeCell ref="C25:I25"/>
    <mergeCell ref="C46:I46"/>
    <mergeCell ref="C29:I29"/>
    <mergeCell ref="C30:I30"/>
    <mergeCell ref="C33:I33"/>
    <mergeCell ref="C34:I34"/>
    <mergeCell ref="C35:I35"/>
    <mergeCell ref="C38:I38"/>
    <mergeCell ref="C39:I39"/>
    <mergeCell ref="C40:I40"/>
    <mergeCell ref="C43:I43"/>
    <mergeCell ref="C44:I44"/>
    <mergeCell ref="C45:I45"/>
    <mergeCell ref="D169:E169"/>
    <mergeCell ref="F169:G169"/>
    <mergeCell ref="H169:I169"/>
    <mergeCell ref="C47:I47"/>
    <mergeCell ref="E49:I49"/>
    <mergeCell ref="E50:I50"/>
    <mergeCell ref="E75:I75"/>
    <mergeCell ref="E76:I76"/>
    <mergeCell ref="C163:I163"/>
    <mergeCell ref="C164:I164"/>
    <mergeCell ref="D168:E168"/>
    <mergeCell ref="F168:G168"/>
    <mergeCell ref="H168:I168"/>
    <mergeCell ref="D170:E170"/>
    <mergeCell ref="F170:G170"/>
    <mergeCell ref="H170:I170"/>
    <mergeCell ref="D171:E171"/>
    <mergeCell ref="F171:G171"/>
    <mergeCell ref="H171:I171"/>
    <mergeCell ref="D172:E172"/>
    <mergeCell ref="F172:G172"/>
    <mergeCell ref="H172:I172"/>
    <mergeCell ref="D174:E174"/>
    <mergeCell ref="F174:G174"/>
    <mergeCell ref="H174:I174"/>
    <mergeCell ref="D175:E175"/>
    <mergeCell ref="F175:G175"/>
    <mergeCell ref="H175:I175"/>
    <mergeCell ref="B177:I177"/>
    <mergeCell ref="C181:E181"/>
    <mergeCell ref="G181:H181"/>
    <mergeCell ref="C182:F182"/>
    <mergeCell ref="G182:H182"/>
    <mergeCell ref="C183:F183"/>
    <mergeCell ref="G183:H183"/>
    <mergeCell ref="C184:F184"/>
    <mergeCell ref="G184:H184"/>
    <mergeCell ref="C185:F185"/>
    <mergeCell ref="G185:H185"/>
    <mergeCell ref="C186:F186"/>
    <mergeCell ref="G186:H186"/>
    <mergeCell ref="C187:F187"/>
    <mergeCell ref="G187:H187"/>
    <mergeCell ref="C192:F192"/>
    <mergeCell ref="G192:H192"/>
    <mergeCell ref="C193:F193"/>
    <mergeCell ref="G193:H193"/>
    <mergeCell ref="C194:F194"/>
    <mergeCell ref="G194:H194"/>
    <mergeCell ref="C198:F198"/>
    <mergeCell ref="G198:H198"/>
    <mergeCell ref="C195:F195"/>
    <mergeCell ref="G195:H195"/>
    <mergeCell ref="C196:F196"/>
    <mergeCell ref="G196:H196"/>
    <mergeCell ref="C197:F197"/>
    <mergeCell ref="G197:H197"/>
  </mergeCells>
  <conditionalFormatting sqref="E78:I160">
    <cfRule type="cellIs" dxfId="41" priority="1" operator="equal">
      <formula>"slecht"</formula>
    </cfRule>
    <cfRule type="cellIs" dxfId="40" priority="2" operator="equal">
      <formula>"minder goed"</formula>
    </cfRule>
    <cfRule type="cellIs" dxfId="39" priority="3" operator="equal">
      <formula>"middelmatig"</formula>
    </cfRule>
    <cfRule type="cellIs" dxfId="38" priority="4" operator="equal">
      <formula>"goed"</formula>
    </cfRule>
    <cfRule type="cellIs" dxfId="37" priority="5" operator="equal">
      <formula>"zeer goed"</formula>
    </cfRule>
  </conditionalFormatting>
  <conditionalFormatting sqref="E52:I61">
    <cfRule type="cellIs" dxfId="36" priority="6" operator="equal">
      <formula>"slecht"</formula>
    </cfRule>
    <cfRule type="cellIs" dxfId="35" priority="7" operator="equal">
      <formula>"minder goed"</formula>
    </cfRule>
    <cfRule type="cellIs" dxfId="34" priority="8" operator="equal">
      <formula>"middelmatig"</formula>
    </cfRule>
    <cfRule type="cellIs" dxfId="33" priority="9" operator="equal">
      <formula>"goed"</formula>
    </cfRule>
    <cfRule type="cellIs" dxfId="32" priority="10" operator="equal">
      <formula>"zeer goed"</formula>
    </cfRule>
  </conditionalFormatting>
  <pageMargins left="0.19685039370078741" right="0.19685039370078741" top="0.35433070866141736" bottom="0.35433070866141736" header="0.31496062992125984" footer="0.31496062992125984"/>
  <pageSetup paperSize="9" orientation="landscape" r:id="rId1"/>
  <rowBreaks count="7" manualBreakCount="7">
    <brk id="36" max="16383" man="1"/>
    <brk id="47" max="16383" man="1"/>
    <brk id="62" max="16383" man="1"/>
    <brk id="161" max="16383" man="1"/>
    <brk id="165" max="16383" man="1"/>
    <brk id="178" max="16383" man="1"/>
    <brk id="189" max="16383"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Codes!$A$39:$A$40</xm:f>
          </x14:formula1>
          <xm:sqref>I182:I187 I193:I198</xm:sqref>
        </x14:dataValidation>
        <x14:dataValidation type="list" allowBlank="1" showInputMessage="1" showErrorMessage="1" xr:uid="{00000000-0002-0000-0500-000001000000}">
          <x14:formula1>
            <xm:f>Codes!$A$35:$A$37</xm:f>
          </x14:formula1>
          <xm:sqref>H169:I172 H174:I175</xm:sqref>
        </x14:dataValidation>
        <x14:dataValidation type="list" allowBlank="1" showInputMessage="1" showErrorMessage="1" xr:uid="{00000000-0002-0000-0500-000002000000}">
          <x14:formula1>
            <xm:f>Codes!$A$28:$A$32</xm:f>
          </x14:formula1>
          <xm:sqref>E165:I165 E161:I162 H52:I61</xm:sqref>
        </x14:dataValidation>
        <x14:dataValidation type="list" allowBlank="1" showInputMessage="1" showErrorMessage="1" xr:uid="{00000000-0002-0000-0500-000003000000}">
          <x14:formula1>
            <xm:f>Codes!$A$28:$A$33</xm:f>
          </x14:formula1>
          <xm:sqref>H78:I160</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2"/>
  <dimension ref="A1:I185"/>
  <sheetViews>
    <sheetView topLeftCell="B1" zoomScale="90" zoomScaleNormal="90" zoomScalePageLayoutView="80" workbookViewId="0">
      <selection activeCell="C8" sqref="C8"/>
    </sheetView>
  </sheetViews>
  <sheetFormatPr defaultColWidth="8.85546875" defaultRowHeight="16.899999999999999" customHeight="1"/>
  <cols>
    <col min="1" max="1" width="14.85546875" style="2" hidden="1" customWidth="1"/>
    <col min="2" max="2" width="35.85546875" style="2" customWidth="1"/>
    <col min="3" max="3" width="50.5703125" style="2" customWidth="1"/>
    <col min="4" max="4" width="9.28515625" style="2" customWidth="1"/>
    <col min="5" max="9" width="8.28515625" style="2" customWidth="1"/>
    <col min="10" max="16384" width="8.85546875" style="2"/>
  </cols>
  <sheetData>
    <row r="1" spans="2:9" ht="16.899999999999999" customHeight="1">
      <c r="C1" s="1"/>
    </row>
    <row r="2" spans="2:9" ht="16.899999999999999" customHeight="1">
      <c r="B2" s="1"/>
    </row>
    <row r="3" spans="2:9" ht="16.899999999999999" customHeight="1">
      <c r="B3" s="1"/>
    </row>
    <row r="4" spans="2:9" ht="16.899999999999999" customHeight="1">
      <c r="G4" s="165" t="s">
        <v>28</v>
      </c>
      <c r="H4" s="165"/>
      <c r="I4" s="165"/>
    </row>
    <row r="5" spans="2:9" ht="16.899999999999999" customHeight="1">
      <c r="B5" s="4" t="s">
        <v>0</v>
      </c>
      <c r="C5" s="4"/>
      <c r="D5" s="21"/>
      <c r="E5" s="166" t="s">
        <v>29</v>
      </c>
      <c r="F5" s="166"/>
      <c r="G5" s="31" t="s">
        <v>30</v>
      </c>
      <c r="H5" s="30" t="s">
        <v>31</v>
      </c>
      <c r="I5" s="29" t="s">
        <v>32</v>
      </c>
    </row>
    <row r="6" spans="2:9" ht="16.899999999999999" customHeight="1">
      <c r="B6" s="3" t="s">
        <v>1</v>
      </c>
      <c r="C6" s="22">
        <f>Persoonsgegevens!F3</f>
        <v>0</v>
      </c>
      <c r="D6" s="21"/>
      <c r="E6" s="167"/>
      <c r="F6" s="168"/>
      <c r="G6" s="76"/>
      <c r="H6" s="77"/>
      <c r="I6" s="77"/>
    </row>
    <row r="7" spans="2:9" ht="16.899999999999999" customHeight="1">
      <c r="B7" s="3" t="s">
        <v>33</v>
      </c>
      <c r="C7" s="23">
        <f>Persoonsgegevens!D12</f>
        <v>0</v>
      </c>
      <c r="D7" s="21"/>
      <c r="E7" s="167"/>
      <c r="F7" s="168"/>
      <c r="G7" s="76"/>
      <c r="H7" s="77"/>
      <c r="I7" s="77"/>
    </row>
    <row r="8" spans="2:9" ht="16.899999999999999" customHeight="1">
      <c r="B8" s="3" t="s">
        <v>34</v>
      </c>
      <c r="C8" s="24"/>
      <c r="D8" s="21"/>
      <c r="E8" s="167"/>
      <c r="F8" s="168"/>
      <c r="G8" s="76"/>
      <c r="H8" s="77"/>
      <c r="I8" s="77"/>
    </row>
    <row r="9" spans="2:9" ht="16.899999999999999" customHeight="1">
      <c r="D9" s="5"/>
      <c r="E9" s="167"/>
      <c r="F9" s="168"/>
      <c r="G9" s="76"/>
      <c r="H9" s="77"/>
      <c r="I9" s="77"/>
    </row>
    <row r="10" spans="2:9" ht="16.899999999999999" customHeight="1">
      <c r="B10" s="12" t="s">
        <v>35</v>
      </c>
    </row>
    <row r="11" spans="2:9" ht="16.899999999999999" customHeight="1">
      <c r="B11" s="1"/>
    </row>
    <row r="12" spans="2:9" ht="16.899999999999999" customHeight="1">
      <c r="B12" s="8" t="s">
        <v>36</v>
      </c>
      <c r="C12" s="7"/>
      <c r="D12" s="7"/>
      <c r="E12" s="7"/>
      <c r="F12" s="7"/>
      <c r="G12" s="7"/>
      <c r="H12" s="7"/>
      <c r="I12" s="7"/>
    </row>
    <row r="13" spans="2:9" ht="43.9" customHeight="1">
      <c r="B13" s="20" t="s">
        <v>37</v>
      </c>
      <c r="C13" s="159">
        <f>'POP 2022'!C13:I13</f>
        <v>0</v>
      </c>
      <c r="D13" s="160"/>
      <c r="E13" s="160"/>
      <c r="F13" s="160"/>
      <c r="G13" s="160"/>
      <c r="H13" s="160"/>
      <c r="I13" s="161"/>
    </row>
    <row r="14" spans="2:9" ht="43.15" customHeight="1">
      <c r="B14" s="20" t="s">
        <v>38</v>
      </c>
      <c r="C14" s="159">
        <f>'POP 2022'!C14:I14</f>
        <v>0</v>
      </c>
      <c r="D14" s="160"/>
      <c r="E14" s="160"/>
      <c r="F14" s="160"/>
      <c r="G14" s="160"/>
      <c r="H14" s="160"/>
      <c r="I14" s="161"/>
    </row>
    <row r="15" spans="2:9" ht="52.15" customHeight="1">
      <c r="B15" s="25" t="s">
        <v>39</v>
      </c>
      <c r="C15" s="159">
        <f>'POP 2022'!C15:I15</f>
        <v>0</v>
      </c>
      <c r="D15" s="160"/>
      <c r="E15" s="160"/>
      <c r="F15" s="160"/>
      <c r="G15" s="160"/>
      <c r="H15" s="160"/>
      <c r="I15" s="161"/>
    </row>
    <row r="16" spans="2:9" ht="16.899999999999999" customHeight="1">
      <c r="B16" s="5"/>
      <c r="C16" s="5"/>
      <c r="D16" s="5"/>
      <c r="E16" s="5"/>
      <c r="F16" s="5"/>
    </row>
    <row r="17" spans="2:9" ht="16.899999999999999" customHeight="1">
      <c r="B17" s="8" t="s">
        <v>40</v>
      </c>
      <c r="C17" s="6"/>
      <c r="D17" s="6"/>
      <c r="E17" s="6"/>
      <c r="F17" s="6"/>
      <c r="G17" s="6"/>
      <c r="H17" s="6"/>
      <c r="I17" s="6"/>
    </row>
    <row r="18" spans="2:9" ht="45" customHeight="1">
      <c r="B18" s="17" t="s">
        <v>41</v>
      </c>
      <c r="C18" s="164">
        <f>'POP 2022'!C18:I18</f>
        <v>0</v>
      </c>
      <c r="D18" s="160"/>
      <c r="E18" s="160"/>
      <c r="F18" s="160"/>
      <c r="G18" s="160"/>
      <c r="H18" s="160"/>
      <c r="I18" s="161"/>
    </row>
    <row r="19" spans="2:9" ht="44.45" customHeight="1">
      <c r="B19" s="17" t="s">
        <v>42</v>
      </c>
      <c r="C19" s="164">
        <f>'POP 2022'!C19:I19</f>
        <v>0</v>
      </c>
      <c r="D19" s="160"/>
      <c r="E19" s="160"/>
      <c r="F19" s="160"/>
      <c r="G19" s="160"/>
      <c r="H19" s="160"/>
      <c r="I19" s="161"/>
    </row>
    <row r="20" spans="2:9" ht="36.6" customHeight="1">
      <c r="B20" s="17" t="s">
        <v>43</v>
      </c>
      <c r="C20" s="164">
        <f>'POP 2022'!C20:I20</f>
        <v>0</v>
      </c>
      <c r="D20" s="160"/>
      <c r="E20" s="160"/>
      <c r="F20" s="160"/>
      <c r="G20" s="160"/>
      <c r="H20" s="160"/>
      <c r="I20" s="161"/>
    </row>
    <row r="21" spans="2:9" ht="38.450000000000003" customHeight="1">
      <c r="B21" s="25" t="s">
        <v>44</v>
      </c>
      <c r="C21" s="164">
        <f>'POP 2022'!C21:I21</f>
        <v>0</v>
      </c>
      <c r="D21" s="160"/>
      <c r="E21" s="160"/>
      <c r="F21" s="160"/>
      <c r="G21" s="160"/>
      <c r="H21" s="160"/>
      <c r="I21" s="161"/>
    </row>
    <row r="22" spans="2:9" ht="31.15" customHeight="1">
      <c r="B22" s="55" t="s">
        <v>45</v>
      </c>
      <c r="C22" s="164">
        <f>'POP 2022'!C22:I22</f>
        <v>0</v>
      </c>
      <c r="D22" s="160"/>
      <c r="E22" s="160"/>
      <c r="F22" s="160"/>
      <c r="G22" s="160"/>
      <c r="H22" s="160"/>
      <c r="I22" s="161"/>
    </row>
    <row r="23" spans="2:9" ht="39.6" customHeight="1">
      <c r="B23" s="17" t="s">
        <v>46</v>
      </c>
      <c r="C23" s="164">
        <f>'POP 2022'!C23:I23</f>
        <v>0</v>
      </c>
      <c r="D23" s="160"/>
      <c r="E23" s="160"/>
      <c r="F23" s="160"/>
      <c r="G23" s="160"/>
      <c r="H23" s="160"/>
      <c r="I23" s="161"/>
    </row>
    <row r="24" spans="2:9" ht="45.6" customHeight="1">
      <c r="B24" s="25" t="s">
        <v>47</v>
      </c>
      <c r="C24" s="164">
        <f>'POP 2022'!C24:I24</f>
        <v>0</v>
      </c>
      <c r="D24" s="160"/>
      <c r="E24" s="160"/>
      <c r="F24" s="160"/>
      <c r="G24" s="160"/>
      <c r="H24" s="160"/>
      <c r="I24" s="161"/>
    </row>
    <row r="25" spans="2:9" ht="45.6" customHeight="1">
      <c r="B25" s="25" t="s">
        <v>48</v>
      </c>
      <c r="C25" s="164">
        <f>'POP 2022'!C25:I25</f>
        <v>0</v>
      </c>
      <c r="D25" s="160"/>
      <c r="E25" s="160"/>
      <c r="F25" s="160"/>
      <c r="G25" s="160"/>
      <c r="H25" s="160"/>
      <c r="I25" s="161"/>
    </row>
    <row r="26" spans="2:9" ht="40.9" customHeight="1">
      <c r="B26" s="25" t="s">
        <v>49</v>
      </c>
      <c r="C26" s="164">
        <f>'POP 2022'!C26:I26</f>
        <v>0</v>
      </c>
      <c r="D26" s="160"/>
      <c r="E26" s="160"/>
      <c r="F26" s="160"/>
      <c r="G26" s="160"/>
      <c r="H26" s="160"/>
      <c r="I26" s="161"/>
    </row>
    <row r="28" spans="2:9" ht="16.899999999999999" customHeight="1">
      <c r="B28" s="8" t="s">
        <v>50</v>
      </c>
      <c r="C28" s="8"/>
      <c r="D28" s="8"/>
      <c r="E28" s="8"/>
      <c r="F28" s="8"/>
      <c r="G28" s="8"/>
      <c r="H28" s="8"/>
      <c r="I28" s="8"/>
    </row>
    <row r="29" spans="2:9" ht="60" customHeight="1">
      <c r="B29" s="17" t="s">
        <v>51</v>
      </c>
      <c r="C29" s="159">
        <f>'POP 2022'!C29:I29</f>
        <v>0</v>
      </c>
      <c r="D29" s="160"/>
      <c r="E29" s="160"/>
      <c r="F29" s="160"/>
      <c r="G29" s="160"/>
      <c r="H29" s="160"/>
      <c r="I29" s="161"/>
    </row>
    <row r="30" spans="2:9" ht="40.9" customHeight="1">
      <c r="B30" s="25" t="s">
        <v>52</v>
      </c>
      <c r="C30" s="159">
        <f>'POP 2022'!C30:I30</f>
        <v>0</v>
      </c>
      <c r="D30" s="160"/>
      <c r="E30" s="160"/>
      <c r="F30" s="160"/>
      <c r="G30" s="160"/>
      <c r="H30" s="160"/>
      <c r="I30" s="161"/>
    </row>
    <row r="31" spans="2:9" ht="16.899999999999999" customHeight="1">
      <c r="B31" s="10"/>
      <c r="C31" s="10"/>
      <c r="D31" s="10"/>
      <c r="E31" s="10"/>
      <c r="F31" s="10"/>
      <c r="G31" s="5"/>
      <c r="H31" s="11"/>
      <c r="I31" s="11"/>
    </row>
    <row r="32" spans="2:9" ht="16.899999999999999" customHeight="1">
      <c r="B32" s="8" t="s">
        <v>53</v>
      </c>
      <c r="C32" s="8"/>
      <c r="D32" s="8"/>
      <c r="E32" s="8"/>
      <c r="F32" s="8"/>
      <c r="G32" s="8"/>
      <c r="H32" s="8"/>
      <c r="I32" s="8"/>
    </row>
    <row r="33" spans="2:9" ht="40.9" customHeight="1">
      <c r="B33" s="26" t="s">
        <v>54</v>
      </c>
      <c r="C33" s="159">
        <f>'POP 2022'!C33:I33</f>
        <v>0</v>
      </c>
      <c r="D33" s="160"/>
      <c r="E33" s="160"/>
      <c r="F33" s="160"/>
      <c r="G33" s="160"/>
      <c r="H33" s="160"/>
      <c r="I33" s="161"/>
    </row>
    <row r="34" spans="2:9" ht="30.6" customHeight="1">
      <c r="B34" s="27" t="s">
        <v>55</v>
      </c>
      <c r="C34" s="159">
        <f>'POP 2022'!C34:I34</f>
        <v>0</v>
      </c>
      <c r="D34" s="160"/>
      <c r="E34" s="160"/>
      <c r="F34" s="160"/>
      <c r="G34" s="160"/>
      <c r="H34" s="160"/>
      <c r="I34" s="161"/>
    </row>
    <row r="35" spans="2:9" ht="31.9" customHeight="1">
      <c r="B35" s="28" t="s">
        <v>56</v>
      </c>
      <c r="C35" s="159">
        <f>'POP 2022'!C35:I35</f>
        <v>0</v>
      </c>
      <c r="D35" s="160"/>
      <c r="E35" s="160"/>
      <c r="F35" s="160"/>
      <c r="G35" s="160"/>
      <c r="H35" s="160"/>
      <c r="I35" s="161"/>
    </row>
    <row r="36" spans="2:9" ht="16.899999999999999" customHeight="1">
      <c r="B36" s="10"/>
      <c r="C36" s="10"/>
      <c r="D36" s="10"/>
      <c r="E36" s="10"/>
      <c r="F36" s="10"/>
      <c r="G36" s="11"/>
      <c r="H36" s="11"/>
      <c r="I36" s="11"/>
    </row>
    <row r="37" spans="2:9" ht="16.899999999999999" customHeight="1">
      <c r="B37" s="8" t="s">
        <v>57</v>
      </c>
      <c r="C37" s="8"/>
      <c r="D37" s="8"/>
      <c r="E37" s="8"/>
      <c r="F37" s="8"/>
      <c r="G37" s="8"/>
      <c r="H37" s="8"/>
      <c r="I37" s="8"/>
    </row>
    <row r="38" spans="2:9" ht="54" customHeight="1">
      <c r="B38" s="17" t="s">
        <v>58</v>
      </c>
      <c r="C38" s="159">
        <f>'POP 2022'!C38:I38</f>
        <v>0</v>
      </c>
      <c r="D38" s="160"/>
      <c r="E38" s="160"/>
      <c r="F38" s="160"/>
      <c r="G38" s="160"/>
      <c r="H38" s="160"/>
      <c r="I38" s="161"/>
    </row>
    <row r="39" spans="2:9" ht="49.15" customHeight="1">
      <c r="B39" s="17" t="s">
        <v>59</v>
      </c>
      <c r="C39" s="159">
        <f>'POP 2022'!C39:I39</f>
        <v>0</v>
      </c>
      <c r="D39" s="160"/>
      <c r="E39" s="160"/>
      <c r="F39" s="160"/>
      <c r="G39" s="160"/>
      <c r="H39" s="160"/>
      <c r="I39" s="161"/>
    </row>
    <row r="40" spans="2:9" ht="62.45" customHeight="1">
      <c r="B40" s="18" t="s">
        <v>60</v>
      </c>
      <c r="C40" s="159">
        <f>'POP 2022'!C40:I40</f>
        <v>0</v>
      </c>
      <c r="D40" s="160"/>
      <c r="E40" s="160"/>
      <c r="F40" s="160"/>
      <c r="G40" s="160"/>
      <c r="H40" s="160"/>
      <c r="I40" s="161"/>
    </row>
    <row r="42" spans="2:9" ht="16.899999999999999" customHeight="1">
      <c r="B42" s="12" t="s">
        <v>61</v>
      </c>
      <c r="C42" s="1"/>
      <c r="D42" s="1"/>
      <c r="E42" s="1"/>
      <c r="F42" s="1"/>
    </row>
    <row r="43" spans="2:9" ht="52.15" customHeight="1">
      <c r="B43" s="19" t="s">
        <v>62</v>
      </c>
      <c r="C43" s="159">
        <f>'POP 2022'!C43:I43</f>
        <v>0</v>
      </c>
      <c r="D43" s="160"/>
      <c r="E43" s="160"/>
      <c r="F43" s="160"/>
      <c r="G43" s="160"/>
      <c r="H43" s="160"/>
      <c r="I43" s="161"/>
    </row>
    <row r="44" spans="2:9" ht="52.15" customHeight="1">
      <c r="B44" s="19" t="s">
        <v>63</v>
      </c>
      <c r="C44" s="159">
        <f>'POP 2022'!C44:I44</f>
        <v>0</v>
      </c>
      <c r="D44" s="160"/>
      <c r="E44" s="160"/>
      <c r="F44" s="160"/>
      <c r="G44" s="160"/>
      <c r="H44" s="160"/>
      <c r="I44" s="161"/>
    </row>
    <row r="45" spans="2:9" ht="49.15" customHeight="1">
      <c r="B45" s="18" t="s">
        <v>64</v>
      </c>
      <c r="C45" s="159">
        <f>'POP 2022'!C45:I45</f>
        <v>0</v>
      </c>
      <c r="D45" s="160"/>
      <c r="E45" s="160"/>
      <c r="F45" s="160"/>
      <c r="G45" s="160"/>
      <c r="H45" s="160"/>
      <c r="I45" s="161"/>
    </row>
    <row r="46" spans="2:9" ht="50.45" customHeight="1">
      <c r="B46" s="18" t="s">
        <v>65</v>
      </c>
      <c r="C46" s="159">
        <f>'POP 2022'!C46:I46</f>
        <v>0</v>
      </c>
      <c r="D46" s="160"/>
      <c r="E46" s="160"/>
      <c r="F46" s="160"/>
      <c r="G46" s="160"/>
      <c r="H46" s="160"/>
      <c r="I46" s="161"/>
    </row>
    <row r="47" spans="2:9" ht="56.45" customHeight="1">
      <c r="B47" s="18" t="s">
        <v>66</v>
      </c>
      <c r="C47" s="159">
        <f>'POP 2022'!C47:I47</f>
        <v>0</v>
      </c>
      <c r="D47" s="160"/>
      <c r="E47" s="160"/>
      <c r="F47" s="160"/>
      <c r="G47" s="160"/>
      <c r="H47" s="160"/>
      <c r="I47" s="161"/>
    </row>
    <row r="49" spans="2:9" ht="16.899999999999999" customHeight="1">
      <c r="B49" s="12" t="s">
        <v>67</v>
      </c>
      <c r="C49" s="12"/>
      <c r="E49" s="163" t="s">
        <v>68</v>
      </c>
      <c r="F49" s="163"/>
      <c r="G49" s="163"/>
      <c r="H49" s="163"/>
      <c r="I49" s="163"/>
    </row>
    <row r="50" spans="2:9" ht="16.899999999999999" customHeight="1">
      <c r="E50" s="162" t="s">
        <v>69</v>
      </c>
      <c r="F50" s="162"/>
      <c r="G50" s="162"/>
      <c r="H50" s="162"/>
      <c r="I50" s="162"/>
    </row>
    <row r="51" spans="2:9" ht="22.7" customHeight="1">
      <c r="B51" s="15" t="s">
        <v>70</v>
      </c>
      <c r="C51" s="14" t="s">
        <v>71</v>
      </c>
      <c r="D51" s="14"/>
      <c r="E51" s="13">
        <v>2019</v>
      </c>
      <c r="F51" s="13">
        <v>2020</v>
      </c>
      <c r="G51" s="13">
        <v>2021</v>
      </c>
      <c r="H51" s="13">
        <v>2022</v>
      </c>
      <c r="I51" s="16">
        <v>2023</v>
      </c>
    </row>
    <row r="52" spans="2:9" ht="72">
      <c r="B52" s="46" t="s">
        <v>72</v>
      </c>
      <c r="C52" s="47" t="s">
        <v>73</v>
      </c>
      <c r="D52" s="9"/>
      <c r="E52" s="52">
        <f>'POP 2019'!E52</f>
        <v>0</v>
      </c>
      <c r="F52" s="52">
        <f>'POP 2020'!F52</f>
        <v>0</v>
      </c>
      <c r="G52" s="52">
        <f>'POP 2021'!G52</f>
        <v>0</v>
      </c>
      <c r="H52" s="52">
        <f>'POP 2022'!H52</f>
        <v>0</v>
      </c>
      <c r="I52" s="52"/>
    </row>
    <row r="53" spans="2:9" ht="57.6">
      <c r="B53" s="46" t="s">
        <v>74</v>
      </c>
      <c r="C53" s="47" t="s">
        <v>75</v>
      </c>
      <c r="D53" s="9"/>
      <c r="E53" s="52">
        <f>'POP 2019'!E53</f>
        <v>0</v>
      </c>
      <c r="F53" s="52">
        <f>'POP 2020'!F53</f>
        <v>0</v>
      </c>
      <c r="G53" s="52">
        <f>'POP 2021'!G53</f>
        <v>0</v>
      </c>
      <c r="H53" s="52">
        <f>'POP 2022'!H53</f>
        <v>0</v>
      </c>
      <c r="I53" s="52"/>
    </row>
    <row r="54" spans="2:9" ht="57.6">
      <c r="B54" s="46" t="s">
        <v>76</v>
      </c>
      <c r="C54" s="47" t="s">
        <v>77</v>
      </c>
      <c r="D54" s="9"/>
      <c r="E54" s="52">
        <f>'POP 2019'!E54</f>
        <v>0</v>
      </c>
      <c r="F54" s="52">
        <f>'POP 2020'!F54</f>
        <v>0</v>
      </c>
      <c r="G54" s="52">
        <f>'POP 2021'!G54</f>
        <v>0</v>
      </c>
      <c r="H54" s="52">
        <f>'POP 2022'!H54</f>
        <v>0</v>
      </c>
      <c r="I54" s="52"/>
    </row>
    <row r="55" spans="2:9" ht="129.6">
      <c r="B55" s="46" t="s">
        <v>78</v>
      </c>
      <c r="C55" s="47" t="s">
        <v>79</v>
      </c>
      <c r="D55" s="9"/>
      <c r="E55" s="52">
        <f>'POP 2019'!E55</f>
        <v>0</v>
      </c>
      <c r="F55" s="52">
        <f>'POP 2020'!F55</f>
        <v>0</v>
      </c>
      <c r="G55" s="52">
        <f>'POP 2021'!G55</f>
        <v>0</v>
      </c>
      <c r="H55" s="52">
        <f>'POP 2022'!H55</f>
        <v>0</v>
      </c>
      <c r="I55" s="52"/>
    </row>
    <row r="56" spans="2:9" ht="72">
      <c r="B56" s="46" t="s">
        <v>80</v>
      </c>
      <c r="C56" s="47" t="s">
        <v>81</v>
      </c>
      <c r="D56" s="9"/>
      <c r="E56" s="52">
        <f>'POP 2019'!E56</f>
        <v>0</v>
      </c>
      <c r="F56" s="52">
        <f>'POP 2020'!F56</f>
        <v>0</v>
      </c>
      <c r="G56" s="52">
        <f>'POP 2021'!G56</f>
        <v>0</v>
      </c>
      <c r="H56" s="52">
        <f>'POP 2022'!H56</f>
        <v>0</v>
      </c>
      <c r="I56" s="52"/>
    </row>
    <row r="57" spans="2:9" ht="86.45">
      <c r="B57" s="46" t="s">
        <v>82</v>
      </c>
      <c r="C57" s="47" t="s">
        <v>83</v>
      </c>
      <c r="D57" s="9"/>
      <c r="E57" s="52">
        <f>'POP 2019'!E57</f>
        <v>0</v>
      </c>
      <c r="F57" s="52">
        <f>'POP 2020'!F57</f>
        <v>0</v>
      </c>
      <c r="G57" s="52">
        <f>'POP 2021'!G57</f>
        <v>0</v>
      </c>
      <c r="H57" s="52">
        <f>'POP 2022'!H57</f>
        <v>0</v>
      </c>
      <c r="I57" s="52"/>
    </row>
    <row r="58" spans="2:9" ht="129.6" customHeight="1">
      <c r="B58" s="46" t="s">
        <v>84</v>
      </c>
      <c r="C58" s="47" t="s">
        <v>85</v>
      </c>
      <c r="D58" s="9"/>
      <c r="E58" s="52">
        <f>'POP 2019'!E58</f>
        <v>0</v>
      </c>
      <c r="F58" s="52">
        <f>'POP 2020'!F58</f>
        <v>0</v>
      </c>
      <c r="G58" s="52">
        <f>'POP 2021'!G58</f>
        <v>0</v>
      </c>
      <c r="H58" s="52">
        <f>'POP 2022'!H58</f>
        <v>0</v>
      </c>
      <c r="I58" s="52"/>
    </row>
    <row r="59" spans="2:9" ht="57.6">
      <c r="B59" s="46" t="s">
        <v>86</v>
      </c>
      <c r="C59" s="47" t="s">
        <v>87</v>
      </c>
      <c r="D59" s="9"/>
      <c r="E59" s="52">
        <f>'POP 2019'!E59</f>
        <v>0</v>
      </c>
      <c r="F59" s="52">
        <f>'POP 2020'!F59</f>
        <v>0</v>
      </c>
      <c r="G59" s="52">
        <f>'POP 2021'!G59</f>
        <v>0</v>
      </c>
      <c r="H59" s="52">
        <f>'POP 2022'!H59</f>
        <v>0</v>
      </c>
      <c r="I59" s="52"/>
    </row>
    <row r="60" spans="2:9" ht="43.15">
      <c r="B60" s="46" t="s">
        <v>88</v>
      </c>
      <c r="C60" s="47" t="s">
        <v>89</v>
      </c>
      <c r="D60" s="9"/>
      <c r="E60" s="52">
        <f>'POP 2019'!E60</f>
        <v>0</v>
      </c>
      <c r="F60" s="52">
        <f>'POP 2020'!F60</f>
        <v>0</v>
      </c>
      <c r="G60" s="52">
        <f>'POP 2021'!G60</f>
        <v>0</v>
      </c>
      <c r="H60" s="52">
        <f>'POP 2022'!H60</f>
        <v>0</v>
      </c>
      <c r="I60" s="52"/>
    </row>
    <row r="61" spans="2:9" ht="20.45" customHeight="1">
      <c r="B61" s="32"/>
      <c r="C61" s="33"/>
      <c r="D61" s="11"/>
      <c r="E61" s="11"/>
      <c r="F61" s="11"/>
      <c r="G61" s="11"/>
      <c r="H61" s="11"/>
      <c r="I61" s="11"/>
    </row>
    <row r="62" spans="2:9" ht="17.45" customHeight="1">
      <c r="B62" s="34" t="s">
        <v>91</v>
      </c>
      <c r="C62" s="33"/>
      <c r="D62" s="11"/>
      <c r="E62" s="11"/>
      <c r="F62" s="11"/>
      <c r="G62" s="11"/>
      <c r="H62" s="11"/>
      <c r="I62" s="11"/>
    </row>
    <row r="63" spans="2:9" ht="14.45">
      <c r="B63" s="32"/>
      <c r="C63" s="33"/>
      <c r="D63" s="11"/>
      <c r="E63" s="11"/>
      <c r="F63" s="11"/>
      <c r="G63" s="11"/>
      <c r="H63" s="11"/>
      <c r="I63" s="11"/>
    </row>
    <row r="64" spans="2:9" ht="14.45">
      <c r="B64" s="32"/>
      <c r="C64" s="33"/>
      <c r="D64" s="11"/>
      <c r="E64" s="11"/>
      <c r="F64" s="11"/>
      <c r="G64" s="11"/>
      <c r="H64" s="11"/>
      <c r="I64" s="11"/>
    </row>
    <row r="65" spans="1:9" ht="14.45">
      <c r="B65" s="32"/>
      <c r="C65" s="33"/>
      <c r="D65" s="11"/>
      <c r="E65" s="11"/>
      <c r="F65" s="11"/>
      <c r="G65" s="11"/>
      <c r="H65" s="11"/>
      <c r="I65" s="11"/>
    </row>
    <row r="66" spans="1:9" ht="14.45">
      <c r="B66" s="32"/>
      <c r="C66" s="33"/>
      <c r="D66" s="11"/>
      <c r="E66" s="11"/>
      <c r="F66" s="11"/>
      <c r="G66" s="11"/>
      <c r="H66" s="11"/>
      <c r="I66" s="11"/>
    </row>
    <row r="67" spans="1:9" ht="14.45">
      <c r="B67" s="32"/>
      <c r="C67" s="33"/>
      <c r="D67" s="11"/>
      <c r="E67" s="11"/>
      <c r="F67" s="11"/>
      <c r="G67" s="11"/>
      <c r="H67" s="11"/>
      <c r="I67" s="11"/>
    </row>
    <row r="68" spans="1:9" ht="14.45">
      <c r="B68" s="32"/>
      <c r="C68" s="33"/>
      <c r="D68" s="11"/>
      <c r="E68" s="11"/>
      <c r="F68" s="11"/>
      <c r="G68" s="11"/>
      <c r="H68" s="11"/>
      <c r="I68" s="11"/>
    </row>
    <row r="69" spans="1:9" ht="14.45">
      <c r="B69" s="32"/>
      <c r="C69" s="33"/>
      <c r="D69" s="11"/>
      <c r="E69" s="11"/>
      <c r="F69" s="11"/>
      <c r="G69" s="11"/>
      <c r="H69" s="11"/>
      <c r="I69" s="11"/>
    </row>
    <row r="70" spans="1:9" ht="14.45">
      <c r="B70" s="32"/>
      <c r="C70" s="33"/>
      <c r="D70" s="11"/>
      <c r="E70" s="11"/>
      <c r="F70" s="11"/>
      <c r="G70" s="11"/>
      <c r="H70" s="11"/>
      <c r="I70" s="11"/>
    </row>
    <row r="71" spans="1:9" ht="14.45">
      <c r="B71" s="32"/>
      <c r="C71" s="33"/>
      <c r="D71" s="11"/>
      <c r="E71" s="11"/>
      <c r="F71" s="11"/>
      <c r="G71" s="11"/>
      <c r="H71" s="11"/>
      <c r="I71" s="11"/>
    </row>
    <row r="72" spans="1:9" ht="14.45">
      <c r="B72" s="32"/>
      <c r="C72" s="33"/>
      <c r="D72" s="11"/>
      <c r="E72" s="11"/>
      <c r="F72" s="11"/>
      <c r="G72" s="11"/>
      <c r="H72" s="11"/>
      <c r="I72" s="11"/>
    </row>
    <row r="73" spans="1:9" ht="14.45">
      <c r="B73" s="32"/>
      <c r="C73" s="33"/>
      <c r="D73" s="11"/>
      <c r="E73" s="11"/>
      <c r="F73" s="11"/>
      <c r="G73" s="11"/>
      <c r="H73" s="11"/>
      <c r="I73" s="11"/>
    </row>
    <row r="74" spans="1:9" ht="14.45">
      <c r="B74" s="37"/>
      <c r="C74" s="37"/>
      <c r="E74" s="163" t="s">
        <v>68</v>
      </c>
      <c r="F74" s="163"/>
      <c r="G74" s="163"/>
      <c r="H74" s="163"/>
      <c r="I74" s="163"/>
    </row>
    <row r="75" spans="1:9" ht="16.899999999999999" customHeight="1">
      <c r="E75" s="162" t="s">
        <v>69</v>
      </c>
      <c r="F75" s="162"/>
      <c r="G75" s="162"/>
      <c r="H75" s="162"/>
      <c r="I75" s="162"/>
    </row>
    <row r="76" spans="1:9" ht="16.899999999999999" customHeight="1">
      <c r="A76" s="42" t="s">
        <v>92</v>
      </c>
      <c r="B76" s="38" t="s">
        <v>91</v>
      </c>
      <c r="C76" s="38" t="s">
        <v>71</v>
      </c>
      <c r="D76" s="41" t="s">
        <v>93</v>
      </c>
      <c r="E76" s="39" t="s">
        <v>94</v>
      </c>
      <c r="F76" s="39" t="s">
        <v>95</v>
      </c>
      <c r="G76" s="39" t="s">
        <v>96</v>
      </c>
      <c r="H76" s="39" t="s">
        <v>97</v>
      </c>
      <c r="I76" s="40" t="s">
        <v>98</v>
      </c>
    </row>
    <row r="77" spans="1:9" ht="28.9" hidden="1">
      <c r="A77" s="82" t="s">
        <v>99</v>
      </c>
      <c r="B77" s="67" t="s">
        <v>100</v>
      </c>
      <c r="C77" s="80" t="s">
        <v>101</v>
      </c>
      <c r="D77" s="36"/>
      <c r="E77" s="53" t="e">
        <f>Tabel4[[#This Row],[20192]]</f>
        <v>#VALUE!</v>
      </c>
      <c r="F77" s="53" t="e">
        <f>Tabel42[[#This Row],[20202]]</f>
        <v>#VALUE!</v>
      </c>
      <c r="G77" s="53" t="e">
        <f>#REF!</f>
        <v>#REF!</v>
      </c>
      <c r="H77" s="53" t="e">
        <f>Tabel4268[[#This Row],[2022]]</f>
        <v>#VALUE!</v>
      </c>
      <c r="I77" s="53"/>
    </row>
    <row r="78" spans="1:9" ht="43.15" hidden="1">
      <c r="A78" s="82" t="s">
        <v>99</v>
      </c>
      <c r="B78" s="67" t="s">
        <v>102</v>
      </c>
      <c r="C78" s="80" t="s">
        <v>103</v>
      </c>
      <c r="D78" s="36"/>
      <c r="E78" s="53">
        <f>Tabel4[[#This Row],[20192]]</f>
        <v>0</v>
      </c>
      <c r="F78" s="53">
        <f>Tabel42[[#This Row],[20202]]</f>
        <v>0</v>
      </c>
      <c r="G78" s="53" t="e">
        <f>#REF!</f>
        <v>#REF!</v>
      </c>
      <c r="H78" s="53">
        <f>Tabel4268[[#This Row],[2022]]</f>
        <v>0</v>
      </c>
      <c r="I78" s="53"/>
    </row>
    <row r="79" spans="1:9" ht="28.9" hidden="1">
      <c r="A79" s="82" t="s">
        <v>99</v>
      </c>
      <c r="B79" s="67" t="s">
        <v>104</v>
      </c>
      <c r="C79" s="80" t="s">
        <v>105</v>
      </c>
      <c r="D79" s="36"/>
      <c r="E79" s="53">
        <f>Tabel4[[#This Row],[20192]]</f>
        <v>0</v>
      </c>
      <c r="F79" s="53">
        <f>Tabel42[[#This Row],[20202]]</f>
        <v>0</v>
      </c>
      <c r="G79" s="53" t="e">
        <f>#REF!</f>
        <v>#REF!</v>
      </c>
      <c r="H79" s="53">
        <f>Tabel4268[[#This Row],[2022]]</f>
        <v>0</v>
      </c>
      <c r="I79" s="53"/>
    </row>
    <row r="80" spans="1:9" ht="14.45" hidden="1">
      <c r="A80" s="82" t="s">
        <v>99</v>
      </c>
      <c r="B80" s="67" t="s">
        <v>106</v>
      </c>
      <c r="C80" s="80" t="s">
        <v>107</v>
      </c>
      <c r="D80" s="36"/>
      <c r="E80" s="53">
        <f>Tabel4[[#This Row],[20192]]</f>
        <v>0</v>
      </c>
      <c r="F80" s="53">
        <f>Tabel42[[#This Row],[20202]]</f>
        <v>0</v>
      </c>
      <c r="G80" s="53" t="e">
        <f>#REF!</f>
        <v>#REF!</v>
      </c>
      <c r="H80" s="53">
        <f>Tabel4268[[#This Row],[2022]]</f>
        <v>0</v>
      </c>
      <c r="I80" s="53"/>
    </row>
    <row r="81" spans="1:9" ht="57.6" hidden="1">
      <c r="A81" s="82" t="s">
        <v>99</v>
      </c>
      <c r="B81" s="67" t="s">
        <v>108</v>
      </c>
      <c r="C81" s="80" t="s">
        <v>109</v>
      </c>
      <c r="D81" s="36"/>
      <c r="E81" s="53">
        <f>Tabel4[[#This Row],[20192]]</f>
        <v>0</v>
      </c>
      <c r="F81" s="53">
        <f>Tabel42[[#This Row],[20202]]</f>
        <v>0</v>
      </c>
      <c r="G81" s="53" t="e">
        <f>#REF!</f>
        <v>#REF!</v>
      </c>
      <c r="H81" s="53">
        <f>Tabel4268[[#This Row],[2022]]</f>
        <v>0</v>
      </c>
      <c r="I81" s="53"/>
    </row>
    <row r="82" spans="1:9" ht="28.9" hidden="1">
      <c r="A82" s="82" t="s">
        <v>99</v>
      </c>
      <c r="B82" s="67" t="s">
        <v>110</v>
      </c>
      <c r="C82" s="80" t="s">
        <v>111</v>
      </c>
      <c r="D82" s="36"/>
      <c r="E82" s="53">
        <f>Tabel4[[#This Row],[20192]]</f>
        <v>0</v>
      </c>
      <c r="F82" s="53">
        <f>Tabel42[[#This Row],[20202]]</f>
        <v>0</v>
      </c>
      <c r="G82" s="53" t="e">
        <f>#REF!</f>
        <v>#REF!</v>
      </c>
      <c r="H82" s="53">
        <f>Tabel4268[[#This Row],[2022]]</f>
        <v>0</v>
      </c>
      <c r="I82" s="53"/>
    </row>
    <row r="83" spans="1:9" ht="28.9" hidden="1">
      <c r="A83" s="82" t="s">
        <v>99</v>
      </c>
      <c r="B83" s="67" t="s">
        <v>112</v>
      </c>
      <c r="C83" s="80" t="s">
        <v>113</v>
      </c>
      <c r="D83" s="36"/>
      <c r="E83" s="53">
        <f>Tabel4[[#This Row],[20192]]</f>
        <v>0</v>
      </c>
      <c r="F83" s="53">
        <f>Tabel42[[#This Row],[20202]]</f>
        <v>0</v>
      </c>
      <c r="G83" s="53" t="e">
        <f>#REF!</f>
        <v>#REF!</v>
      </c>
      <c r="H83" s="53">
        <f>Tabel4268[[#This Row],[2022]]</f>
        <v>0</v>
      </c>
      <c r="I83" s="53"/>
    </row>
    <row r="84" spans="1:9" ht="57.6" hidden="1">
      <c r="A84" s="82" t="s">
        <v>99</v>
      </c>
      <c r="B84" s="67" t="s">
        <v>114</v>
      </c>
      <c r="C84" s="80" t="s">
        <v>115</v>
      </c>
      <c r="D84" s="36"/>
      <c r="E84" s="53">
        <f>Tabel4[[#This Row],[20192]]</f>
        <v>0</v>
      </c>
      <c r="F84" s="53">
        <f>Tabel42[[#This Row],[20202]]</f>
        <v>0</v>
      </c>
      <c r="G84" s="53" t="e">
        <f>#REF!</f>
        <v>#REF!</v>
      </c>
      <c r="H84" s="53">
        <f>Tabel4268[[#This Row],[2022]]</f>
        <v>0</v>
      </c>
      <c r="I84" s="53"/>
    </row>
    <row r="85" spans="1:9" ht="28.9" hidden="1">
      <c r="A85" s="82" t="s">
        <v>99</v>
      </c>
      <c r="B85" s="67" t="s">
        <v>116</v>
      </c>
      <c r="C85" s="81" t="s">
        <v>117</v>
      </c>
      <c r="D85" s="36"/>
      <c r="E85" s="53">
        <f>Tabel4[[#This Row],[20192]]</f>
        <v>0</v>
      </c>
      <c r="F85" s="53">
        <f>Tabel42[[#This Row],[20202]]</f>
        <v>0</v>
      </c>
      <c r="G85" s="53" t="e">
        <f>#REF!</f>
        <v>#REF!</v>
      </c>
      <c r="H85" s="53">
        <f>Tabel4268[[#This Row],[2022]]</f>
        <v>0</v>
      </c>
      <c r="I85" s="53"/>
    </row>
    <row r="86" spans="1:9" ht="14.45" hidden="1">
      <c r="A86" s="82" t="s">
        <v>99</v>
      </c>
      <c r="B86" s="67" t="s">
        <v>118</v>
      </c>
      <c r="C86" s="81" t="s">
        <v>119</v>
      </c>
      <c r="D86" s="36"/>
      <c r="E86" s="53">
        <f>Tabel4[[#This Row],[20192]]</f>
        <v>0</v>
      </c>
      <c r="F86" s="53">
        <f>Tabel42[[#This Row],[20202]]</f>
        <v>0</v>
      </c>
      <c r="G86" s="53" t="e">
        <f>#REF!</f>
        <v>#REF!</v>
      </c>
      <c r="H86" s="53">
        <f>Tabel4268[[#This Row],[2022]]</f>
        <v>0</v>
      </c>
      <c r="I86" s="53"/>
    </row>
    <row r="87" spans="1:9" ht="86.45" hidden="1">
      <c r="A87" s="82" t="s">
        <v>99</v>
      </c>
      <c r="B87" s="67" t="s">
        <v>120</v>
      </c>
      <c r="C87" s="80" t="s">
        <v>121</v>
      </c>
      <c r="D87" s="36"/>
      <c r="E87" s="53">
        <f>Tabel4[[#This Row],[20192]]</f>
        <v>0</v>
      </c>
      <c r="F87" s="53">
        <f>Tabel42[[#This Row],[20202]]</f>
        <v>0</v>
      </c>
      <c r="G87" s="53" t="e">
        <f>#REF!</f>
        <v>#REF!</v>
      </c>
      <c r="H87" s="53">
        <f>Tabel4268[[#This Row],[2022]]</f>
        <v>0</v>
      </c>
      <c r="I87" s="53"/>
    </row>
    <row r="88" spans="1:9" ht="57.6" hidden="1">
      <c r="A88" s="82" t="s">
        <v>99</v>
      </c>
      <c r="B88" s="67" t="s">
        <v>122</v>
      </c>
      <c r="C88" s="80" t="s">
        <v>123</v>
      </c>
      <c r="D88" s="36"/>
      <c r="E88" s="53">
        <f>Tabel4[[#This Row],[20192]]</f>
        <v>0</v>
      </c>
      <c r="F88" s="53">
        <f>Tabel42[[#This Row],[20202]]</f>
        <v>0</v>
      </c>
      <c r="G88" s="53" t="e">
        <f>#REF!</f>
        <v>#REF!</v>
      </c>
      <c r="H88" s="53">
        <f>Tabel4268[[#This Row],[2022]]</f>
        <v>0</v>
      </c>
      <c r="I88" s="53"/>
    </row>
    <row r="89" spans="1:9" ht="28.9" hidden="1">
      <c r="A89" s="82" t="s">
        <v>99</v>
      </c>
      <c r="B89" s="67" t="s">
        <v>124</v>
      </c>
      <c r="C89" s="80" t="s">
        <v>125</v>
      </c>
      <c r="D89" s="36"/>
      <c r="E89" s="53">
        <f>Tabel4[[#This Row],[20192]]</f>
        <v>0</v>
      </c>
      <c r="F89" s="53">
        <f>Tabel42[[#This Row],[20202]]</f>
        <v>0</v>
      </c>
      <c r="G89" s="53" t="e">
        <f>#REF!</f>
        <v>#REF!</v>
      </c>
      <c r="H89" s="53">
        <f>Tabel4268[[#This Row],[2022]]</f>
        <v>0</v>
      </c>
      <c r="I89" s="53"/>
    </row>
    <row r="90" spans="1:9" ht="57.6" hidden="1">
      <c r="A90" s="82" t="s">
        <v>126</v>
      </c>
      <c r="B90" s="67" t="s">
        <v>127</v>
      </c>
      <c r="C90" s="80" t="s">
        <v>128</v>
      </c>
      <c r="D90" s="36"/>
      <c r="E90" s="53">
        <f>Tabel4[[#This Row],[20192]]</f>
        <v>0</v>
      </c>
      <c r="F90" s="53">
        <f>Tabel42[[#This Row],[20202]]</f>
        <v>0</v>
      </c>
      <c r="G90" s="53" t="e">
        <f>#REF!</f>
        <v>#REF!</v>
      </c>
      <c r="H90" s="53">
        <f>Tabel4268[[#This Row],[2022]]</f>
        <v>0</v>
      </c>
      <c r="I90" s="53"/>
    </row>
    <row r="91" spans="1:9" ht="28.9" hidden="1">
      <c r="A91" s="82" t="s">
        <v>126</v>
      </c>
      <c r="B91" s="67" t="s">
        <v>129</v>
      </c>
      <c r="C91" s="80" t="s">
        <v>130</v>
      </c>
      <c r="D91" s="36"/>
      <c r="E91" s="53">
        <f>Tabel4[[#This Row],[20192]]</f>
        <v>0</v>
      </c>
      <c r="F91" s="53">
        <f>Tabel42[[#This Row],[20202]]</f>
        <v>0</v>
      </c>
      <c r="G91" s="53" t="e">
        <f>#REF!</f>
        <v>#REF!</v>
      </c>
      <c r="H91" s="53">
        <f>Tabel4268[[#This Row],[2022]]</f>
        <v>0</v>
      </c>
      <c r="I91" s="53"/>
    </row>
    <row r="92" spans="1:9" ht="72" hidden="1">
      <c r="A92" s="82" t="s">
        <v>126</v>
      </c>
      <c r="B92" s="67" t="s">
        <v>131</v>
      </c>
      <c r="C92" s="80" t="s">
        <v>132</v>
      </c>
      <c r="D92" s="36"/>
      <c r="E92" s="53">
        <f>Tabel4[[#This Row],[20192]]</f>
        <v>0</v>
      </c>
      <c r="F92" s="53">
        <f>Tabel42[[#This Row],[20202]]</f>
        <v>0</v>
      </c>
      <c r="G92" s="53" t="e">
        <f>#REF!</f>
        <v>#REF!</v>
      </c>
      <c r="H92" s="53">
        <f>Tabel4268[[#This Row],[2022]]</f>
        <v>0</v>
      </c>
      <c r="I92" s="53"/>
    </row>
    <row r="93" spans="1:9" ht="14.45" hidden="1">
      <c r="A93" s="82" t="s">
        <v>126</v>
      </c>
      <c r="B93" s="67" t="s">
        <v>133</v>
      </c>
      <c r="C93" s="80" t="s">
        <v>134</v>
      </c>
      <c r="D93" s="36"/>
      <c r="E93" s="53">
        <f>Tabel4[[#This Row],[20192]]</f>
        <v>0</v>
      </c>
      <c r="F93" s="53">
        <f>Tabel42[[#This Row],[20202]]</f>
        <v>0</v>
      </c>
      <c r="G93" s="53" t="e">
        <f>#REF!</f>
        <v>#REF!</v>
      </c>
      <c r="H93" s="53">
        <f>Tabel4268[[#This Row],[2022]]</f>
        <v>0</v>
      </c>
      <c r="I93" s="53"/>
    </row>
    <row r="94" spans="1:9" ht="100.9" hidden="1">
      <c r="A94" s="82" t="s">
        <v>126</v>
      </c>
      <c r="B94" s="67" t="s">
        <v>135</v>
      </c>
      <c r="C94" s="80" t="s">
        <v>136</v>
      </c>
      <c r="D94" s="36"/>
      <c r="E94" s="53">
        <f>Tabel4[[#This Row],[20192]]</f>
        <v>0</v>
      </c>
      <c r="F94" s="53">
        <f>Tabel42[[#This Row],[20202]]</f>
        <v>0</v>
      </c>
      <c r="G94" s="53" t="e">
        <f>#REF!</f>
        <v>#REF!</v>
      </c>
      <c r="H94" s="53">
        <f>Tabel4268[[#This Row],[2022]]</f>
        <v>0</v>
      </c>
      <c r="I94" s="53"/>
    </row>
    <row r="95" spans="1:9" ht="72" hidden="1">
      <c r="A95" s="82" t="s">
        <v>126</v>
      </c>
      <c r="B95" s="67" t="s">
        <v>137</v>
      </c>
      <c r="C95" s="80" t="s">
        <v>138</v>
      </c>
      <c r="D95" s="36"/>
      <c r="E95" s="53">
        <f>Tabel4[[#This Row],[20192]]</f>
        <v>0</v>
      </c>
      <c r="F95" s="53">
        <f>Tabel42[[#This Row],[20202]]</f>
        <v>0</v>
      </c>
      <c r="G95" s="53" t="e">
        <f>#REF!</f>
        <v>#REF!</v>
      </c>
      <c r="H95" s="53">
        <f>Tabel4268[[#This Row],[2022]]</f>
        <v>0</v>
      </c>
      <c r="I95" s="53"/>
    </row>
    <row r="96" spans="1:9" ht="43.15" hidden="1">
      <c r="A96" s="82" t="s">
        <v>126</v>
      </c>
      <c r="B96" s="67" t="s">
        <v>139</v>
      </c>
      <c r="C96" s="80" t="s">
        <v>140</v>
      </c>
      <c r="D96" s="36"/>
      <c r="E96" s="53">
        <f>Tabel4[[#This Row],[20192]]</f>
        <v>0</v>
      </c>
      <c r="F96" s="53">
        <f>Tabel42[[#This Row],[20202]]</f>
        <v>0</v>
      </c>
      <c r="G96" s="53" t="e">
        <f>#REF!</f>
        <v>#REF!</v>
      </c>
      <c r="H96" s="53">
        <f>Tabel4268[[#This Row],[2022]]</f>
        <v>0</v>
      </c>
      <c r="I96" s="53"/>
    </row>
    <row r="97" spans="1:9" ht="43.15">
      <c r="A97" s="82" t="s">
        <v>141</v>
      </c>
      <c r="B97" s="67" t="s">
        <v>127</v>
      </c>
      <c r="C97" s="80" t="s">
        <v>142</v>
      </c>
      <c r="D97" s="36"/>
      <c r="E97" s="53">
        <f>Tabel4[[#This Row],[20192]]</f>
        <v>0</v>
      </c>
      <c r="F97" s="53">
        <f>Tabel42[[#This Row],[20202]]</f>
        <v>0</v>
      </c>
      <c r="G97" s="53" t="e">
        <f>#REF!</f>
        <v>#REF!</v>
      </c>
      <c r="H97" s="53">
        <f>Tabel4268[[#This Row],[2022]]</f>
        <v>0</v>
      </c>
      <c r="I97" s="53"/>
    </row>
    <row r="98" spans="1:9" ht="28.9">
      <c r="A98" s="82" t="s">
        <v>141</v>
      </c>
      <c r="B98" s="67" t="s">
        <v>143</v>
      </c>
      <c r="C98" s="80" t="s">
        <v>144</v>
      </c>
      <c r="D98" s="36"/>
      <c r="E98" s="53">
        <f>Tabel4[[#This Row],[20192]]</f>
        <v>0</v>
      </c>
      <c r="F98" s="53">
        <f>Tabel42[[#This Row],[20202]]</f>
        <v>0</v>
      </c>
      <c r="G98" s="53" t="e">
        <f>#REF!</f>
        <v>#REF!</v>
      </c>
      <c r="H98" s="53">
        <f>Tabel4268[[#This Row],[2022]]</f>
        <v>0</v>
      </c>
      <c r="I98" s="53"/>
    </row>
    <row r="99" spans="1:9" ht="43.15">
      <c r="A99" s="82" t="s">
        <v>141</v>
      </c>
      <c r="B99" s="67" t="s">
        <v>145</v>
      </c>
      <c r="C99" s="81" t="s">
        <v>268</v>
      </c>
      <c r="D99" s="36"/>
      <c r="E99" s="53">
        <f>Tabel4[[#This Row],[20192]]</f>
        <v>0</v>
      </c>
      <c r="F99" s="53">
        <f>Tabel42[[#This Row],[20202]]</f>
        <v>0</v>
      </c>
      <c r="G99" s="53" t="e">
        <f>#REF!</f>
        <v>#REF!</v>
      </c>
      <c r="H99" s="53">
        <f>Tabel4268[[#This Row],[2022]]</f>
        <v>0</v>
      </c>
      <c r="I99" s="53"/>
    </row>
    <row r="100" spans="1:9" ht="43.15">
      <c r="A100" s="82" t="s">
        <v>141</v>
      </c>
      <c r="B100" s="67" t="s">
        <v>133</v>
      </c>
      <c r="C100" s="81" t="s">
        <v>269</v>
      </c>
      <c r="D100" s="36"/>
      <c r="E100" s="53">
        <f>Tabel4[[#This Row],[20192]]</f>
        <v>0</v>
      </c>
      <c r="F100" s="53">
        <f>Tabel42[[#This Row],[20202]]</f>
        <v>0</v>
      </c>
      <c r="G100" s="53" t="e">
        <f>#REF!</f>
        <v>#REF!</v>
      </c>
      <c r="H100" s="53">
        <f>Tabel4268[[#This Row],[2022]]</f>
        <v>0</v>
      </c>
      <c r="I100" s="53"/>
    </row>
    <row r="101" spans="1:9" ht="28.9">
      <c r="A101" s="82" t="s">
        <v>141</v>
      </c>
      <c r="B101" s="67" t="s">
        <v>148</v>
      </c>
      <c r="C101" s="80" t="s">
        <v>149</v>
      </c>
      <c r="D101" s="36"/>
      <c r="E101" s="53">
        <f>Tabel4[[#This Row],[20192]]</f>
        <v>0</v>
      </c>
      <c r="F101" s="53">
        <f>Tabel42[[#This Row],[20202]]</f>
        <v>0</v>
      </c>
      <c r="G101" s="53" t="e">
        <f>#REF!</f>
        <v>#REF!</v>
      </c>
      <c r="H101" s="53">
        <f>Tabel4268[[#This Row],[2022]]</f>
        <v>0</v>
      </c>
      <c r="I101" s="53"/>
    </row>
    <row r="102" spans="1:9" ht="31.9" customHeight="1">
      <c r="A102" s="82" t="s">
        <v>141</v>
      </c>
      <c r="B102" s="67" t="s">
        <v>150</v>
      </c>
      <c r="C102" s="81" t="s">
        <v>270</v>
      </c>
      <c r="D102" s="36"/>
      <c r="E102" s="53">
        <f>Tabel4[[#This Row],[20192]]</f>
        <v>0</v>
      </c>
      <c r="F102" s="53">
        <f>Tabel42[[#This Row],[20202]]</f>
        <v>0</v>
      </c>
      <c r="G102" s="53" t="e">
        <f>#REF!</f>
        <v>#REF!</v>
      </c>
      <c r="H102" s="53">
        <f>Tabel4268[[#This Row],[2022]]</f>
        <v>0</v>
      </c>
      <c r="I102" s="53"/>
    </row>
    <row r="103" spans="1:9" ht="100.9">
      <c r="A103" s="82" t="s">
        <v>141</v>
      </c>
      <c r="B103" s="67" t="s">
        <v>153</v>
      </c>
      <c r="C103" s="80" t="s">
        <v>154</v>
      </c>
      <c r="D103" s="36"/>
      <c r="E103" s="53" t="str">
        <f>Tabel4[[#This Row],[20192]]</f>
        <v>nvt</v>
      </c>
      <c r="F103" s="53">
        <f>Tabel42[[#This Row],[20202]]</f>
        <v>0</v>
      </c>
      <c r="G103" s="53" t="e">
        <f>#REF!</f>
        <v>#REF!</v>
      </c>
      <c r="H103" s="53">
        <f>Tabel4268[[#This Row],[2022]]</f>
        <v>0</v>
      </c>
      <c r="I103" s="53"/>
    </row>
    <row r="104" spans="1:9" ht="28.9">
      <c r="A104" s="82" t="s">
        <v>141</v>
      </c>
      <c r="B104" s="67" t="s">
        <v>155</v>
      </c>
      <c r="C104" s="80" t="s">
        <v>156</v>
      </c>
      <c r="D104" s="36"/>
      <c r="E104" s="53" t="str">
        <f>Tabel4[[#This Row],[20192]]</f>
        <v>nvt</v>
      </c>
      <c r="F104" s="53">
        <f>Tabel42[[#This Row],[20202]]</f>
        <v>0</v>
      </c>
      <c r="G104" s="53" t="e">
        <f>#REF!</f>
        <v>#REF!</v>
      </c>
      <c r="H104" s="53">
        <f>Tabel4268[[#This Row],[2022]]</f>
        <v>0</v>
      </c>
      <c r="I104" s="53"/>
    </row>
    <row r="105" spans="1:9" ht="14.45" hidden="1">
      <c r="A105" s="82" t="s">
        <v>157</v>
      </c>
      <c r="B105" s="67" t="s">
        <v>158</v>
      </c>
      <c r="C105" s="80" t="s">
        <v>159</v>
      </c>
      <c r="D105" s="36"/>
      <c r="E105" s="53" t="str">
        <f>Tabel4[[#This Row],[20192]]</f>
        <v>nvt</v>
      </c>
      <c r="F105" s="53">
        <f>Tabel42[[#This Row],[20202]]</f>
        <v>0</v>
      </c>
      <c r="G105" s="53" t="e">
        <f>#REF!</f>
        <v>#REF!</v>
      </c>
      <c r="H105" s="53">
        <f>Tabel4268[[#This Row],[2022]]</f>
        <v>0</v>
      </c>
      <c r="I105" s="53"/>
    </row>
    <row r="106" spans="1:9" ht="28.9" hidden="1">
      <c r="A106" s="82" t="s">
        <v>157</v>
      </c>
      <c r="B106" s="67" t="s">
        <v>160</v>
      </c>
      <c r="C106" s="80" t="s">
        <v>161</v>
      </c>
      <c r="D106" s="36"/>
      <c r="E106" s="53">
        <f>Tabel4[[#This Row],[20192]]</f>
        <v>0</v>
      </c>
      <c r="F106" s="53">
        <f>Tabel42[[#This Row],[20202]]</f>
        <v>0</v>
      </c>
      <c r="G106" s="53" t="e">
        <f>#REF!</f>
        <v>#REF!</v>
      </c>
      <c r="H106" s="53">
        <f>Tabel4268[[#This Row],[2022]]</f>
        <v>0</v>
      </c>
      <c r="I106" s="53"/>
    </row>
    <row r="107" spans="1:9" ht="28.9" hidden="1">
      <c r="A107" s="82" t="s">
        <v>157</v>
      </c>
      <c r="B107" s="67" t="s">
        <v>162</v>
      </c>
      <c r="C107" s="80" t="s">
        <v>163</v>
      </c>
      <c r="D107" s="36"/>
      <c r="E107" s="53">
        <f>Tabel4[[#This Row],[20192]]</f>
        <v>0</v>
      </c>
      <c r="F107" s="53">
        <f>Tabel42[[#This Row],[20202]]</f>
        <v>0</v>
      </c>
      <c r="G107" s="53" t="e">
        <f>#REF!</f>
        <v>#REF!</v>
      </c>
      <c r="H107" s="53">
        <f>Tabel4268[[#This Row],[2022]]</f>
        <v>0</v>
      </c>
      <c r="I107" s="53"/>
    </row>
    <row r="108" spans="1:9" ht="14.45" hidden="1">
      <c r="A108" s="82" t="s">
        <v>157</v>
      </c>
      <c r="B108" s="67" t="s">
        <v>164</v>
      </c>
      <c r="C108" s="80" t="s">
        <v>165</v>
      </c>
      <c r="D108" s="36"/>
      <c r="E108" s="53">
        <f>Tabel4[[#This Row],[20192]]</f>
        <v>0</v>
      </c>
      <c r="F108" s="53">
        <f>Tabel42[[#This Row],[20202]]</f>
        <v>0</v>
      </c>
      <c r="G108" s="53" t="e">
        <f>#REF!</f>
        <v>#REF!</v>
      </c>
      <c r="H108" s="53">
        <f>Tabel4268[[#This Row],[2022]]</f>
        <v>0</v>
      </c>
      <c r="I108" s="53"/>
    </row>
    <row r="109" spans="1:9" ht="57.6" hidden="1">
      <c r="A109" s="82" t="s">
        <v>157</v>
      </c>
      <c r="B109" s="67" t="s">
        <v>166</v>
      </c>
      <c r="C109" s="80" t="s">
        <v>167</v>
      </c>
      <c r="D109" s="36"/>
      <c r="E109" s="53">
        <f>Tabel4[[#This Row],[20192]]</f>
        <v>0</v>
      </c>
      <c r="F109" s="53">
        <f>Tabel42[[#This Row],[20202]]</f>
        <v>0</v>
      </c>
      <c r="G109" s="53" t="e">
        <f>#REF!</f>
        <v>#REF!</v>
      </c>
      <c r="H109" s="53">
        <f>Tabel4268[[#This Row],[2022]]</f>
        <v>0</v>
      </c>
      <c r="I109" s="53"/>
    </row>
    <row r="110" spans="1:9" ht="43.15" hidden="1">
      <c r="A110" s="82" t="s">
        <v>157</v>
      </c>
      <c r="B110" s="67" t="s">
        <v>168</v>
      </c>
      <c r="C110" s="80" t="s">
        <v>169</v>
      </c>
      <c r="D110" s="36"/>
      <c r="E110" s="53">
        <f>Tabel4[[#This Row],[20192]]</f>
        <v>0</v>
      </c>
      <c r="F110" s="53">
        <f>Tabel42[[#This Row],[20202]]</f>
        <v>0</v>
      </c>
      <c r="G110" s="53" t="e">
        <f>#REF!</f>
        <v>#REF!</v>
      </c>
      <c r="H110" s="53">
        <f>Tabel4268[[#This Row],[2022]]</f>
        <v>0</v>
      </c>
      <c r="I110" s="53"/>
    </row>
    <row r="111" spans="1:9" ht="86.45" hidden="1">
      <c r="A111" s="82" t="s">
        <v>157</v>
      </c>
      <c r="B111" s="67" t="s">
        <v>120</v>
      </c>
      <c r="C111" s="80" t="s">
        <v>121</v>
      </c>
      <c r="D111" s="36"/>
      <c r="E111" s="53">
        <f>Tabel4[[#This Row],[20192]]</f>
        <v>0</v>
      </c>
      <c r="F111" s="53">
        <f>Tabel42[[#This Row],[20202]]</f>
        <v>0</v>
      </c>
      <c r="G111" s="53" t="e">
        <f>#REF!</f>
        <v>#REF!</v>
      </c>
      <c r="H111" s="53">
        <f>Tabel4268[[#This Row],[2022]]</f>
        <v>0</v>
      </c>
      <c r="I111" s="53"/>
    </row>
    <row r="112" spans="1:9" ht="57.6" hidden="1">
      <c r="A112" s="82" t="s">
        <v>157</v>
      </c>
      <c r="B112" s="67" t="s">
        <v>122</v>
      </c>
      <c r="C112" s="80" t="s">
        <v>123</v>
      </c>
      <c r="D112" s="36"/>
      <c r="E112" s="53">
        <f>Tabel4[[#This Row],[20192]]</f>
        <v>0</v>
      </c>
      <c r="F112" s="53">
        <f>Tabel42[[#This Row],[20202]]</f>
        <v>0</v>
      </c>
      <c r="G112" s="53" t="e">
        <f>#REF!</f>
        <v>#REF!</v>
      </c>
      <c r="H112" s="53">
        <f>Tabel4268[[#This Row],[2022]]</f>
        <v>0</v>
      </c>
      <c r="I112" s="53"/>
    </row>
    <row r="113" spans="1:9" ht="28.9" hidden="1">
      <c r="A113" s="82" t="s">
        <v>157</v>
      </c>
      <c r="B113" s="67" t="s">
        <v>124</v>
      </c>
      <c r="C113" s="80" t="s">
        <v>125</v>
      </c>
      <c r="D113" s="36"/>
      <c r="E113" s="53">
        <f>Tabel4[[#This Row],[20192]]</f>
        <v>0</v>
      </c>
      <c r="F113" s="53">
        <f>Tabel42[[#This Row],[20202]]</f>
        <v>0</v>
      </c>
      <c r="G113" s="53" t="e">
        <f>#REF!</f>
        <v>#REF!</v>
      </c>
      <c r="H113" s="53">
        <f>Tabel4268[[#This Row],[2022]]</f>
        <v>0</v>
      </c>
      <c r="I113" s="53"/>
    </row>
    <row r="114" spans="1:9" ht="28.9" hidden="1">
      <c r="A114" s="82" t="s">
        <v>170</v>
      </c>
      <c r="B114" s="67" t="s">
        <v>171</v>
      </c>
      <c r="C114" s="80" t="s">
        <v>172</v>
      </c>
      <c r="D114" s="36"/>
      <c r="E114" s="53">
        <f>Tabel4[[#This Row],[20192]]</f>
        <v>0</v>
      </c>
      <c r="F114" s="53">
        <f>Tabel42[[#This Row],[20202]]</f>
        <v>0</v>
      </c>
      <c r="G114" s="53" t="e">
        <f>#REF!</f>
        <v>#REF!</v>
      </c>
      <c r="H114" s="53">
        <f>Tabel4268[[#This Row],[2022]]</f>
        <v>0</v>
      </c>
      <c r="I114" s="53"/>
    </row>
    <row r="115" spans="1:9" ht="43.15" hidden="1">
      <c r="A115" s="82" t="s">
        <v>170</v>
      </c>
      <c r="B115" s="67" t="s">
        <v>168</v>
      </c>
      <c r="C115" s="80" t="s">
        <v>169</v>
      </c>
      <c r="D115" s="36"/>
      <c r="E115" s="53">
        <f>Tabel4[[#This Row],[20192]]</f>
        <v>0</v>
      </c>
      <c r="F115" s="53">
        <f>Tabel42[[#This Row],[20202]]</f>
        <v>0</v>
      </c>
      <c r="G115" s="53" t="e">
        <f>#REF!</f>
        <v>#REF!</v>
      </c>
      <c r="H115" s="53">
        <f>Tabel4268[[#This Row],[2022]]</f>
        <v>0</v>
      </c>
      <c r="I115" s="53"/>
    </row>
    <row r="116" spans="1:9" ht="86.45" hidden="1">
      <c r="A116" s="82" t="s">
        <v>170</v>
      </c>
      <c r="B116" s="67" t="s">
        <v>120</v>
      </c>
      <c r="C116" s="80" t="s">
        <v>121</v>
      </c>
      <c r="D116" s="36"/>
      <c r="E116" s="53">
        <f>Tabel4[[#This Row],[20192]]</f>
        <v>0</v>
      </c>
      <c r="F116" s="53">
        <f>Tabel42[[#This Row],[20202]]</f>
        <v>0</v>
      </c>
      <c r="G116" s="53" t="e">
        <f>#REF!</f>
        <v>#REF!</v>
      </c>
      <c r="H116" s="53">
        <f>Tabel4268[[#This Row],[2022]]</f>
        <v>0</v>
      </c>
      <c r="I116" s="53"/>
    </row>
    <row r="117" spans="1:9" ht="57.6" hidden="1">
      <c r="A117" s="82" t="s">
        <v>170</v>
      </c>
      <c r="B117" s="67" t="s">
        <v>122</v>
      </c>
      <c r="C117" s="80" t="s">
        <v>123</v>
      </c>
      <c r="D117" s="36"/>
      <c r="E117" s="53">
        <f>Tabel4[[#This Row],[20192]]</f>
        <v>0</v>
      </c>
      <c r="F117" s="53">
        <f>Tabel42[[#This Row],[20202]]</f>
        <v>0</v>
      </c>
      <c r="G117" s="53" t="e">
        <f>#REF!</f>
        <v>#REF!</v>
      </c>
      <c r="H117" s="53">
        <f>Tabel4268[[#This Row],[2022]]</f>
        <v>0</v>
      </c>
      <c r="I117" s="53"/>
    </row>
    <row r="118" spans="1:9" ht="28.9" hidden="1">
      <c r="A118" s="82" t="s">
        <v>170</v>
      </c>
      <c r="B118" s="67" t="s">
        <v>124</v>
      </c>
      <c r="C118" s="80" t="s">
        <v>125</v>
      </c>
      <c r="D118" s="36"/>
      <c r="E118" s="53">
        <f>Tabel4[[#This Row],[20192]]</f>
        <v>0</v>
      </c>
      <c r="F118" s="53">
        <f>Tabel42[[#This Row],[20202]]</f>
        <v>0</v>
      </c>
      <c r="G118" s="53" t="e">
        <f>#REF!</f>
        <v>#REF!</v>
      </c>
      <c r="H118" s="53">
        <f>Tabel4268[[#This Row],[2022]]</f>
        <v>0</v>
      </c>
      <c r="I118" s="53"/>
    </row>
    <row r="119" spans="1:9" ht="72" hidden="1">
      <c r="A119" s="82" t="s">
        <v>170</v>
      </c>
      <c r="B119" s="67" t="s">
        <v>164</v>
      </c>
      <c r="C119" s="80" t="s">
        <v>173</v>
      </c>
      <c r="D119" s="36"/>
      <c r="E119" s="53">
        <f>Tabel4[[#This Row],[20192]]</f>
        <v>0</v>
      </c>
      <c r="F119" s="53">
        <f>Tabel42[[#This Row],[20202]]</f>
        <v>0</v>
      </c>
      <c r="G119" s="53" t="e">
        <f>#REF!</f>
        <v>#REF!</v>
      </c>
      <c r="H119" s="53">
        <f>Tabel4268[[#This Row],[2022]]</f>
        <v>0</v>
      </c>
      <c r="I119" s="53"/>
    </row>
    <row r="120" spans="1:9" ht="14.45" hidden="1">
      <c r="A120" s="82" t="s">
        <v>170</v>
      </c>
      <c r="B120" s="67" t="s">
        <v>174</v>
      </c>
      <c r="C120" s="80" t="s">
        <v>175</v>
      </c>
      <c r="D120" s="36"/>
      <c r="E120" s="53">
        <f>Tabel4[[#This Row],[20192]]</f>
        <v>0</v>
      </c>
      <c r="F120" s="53">
        <f>Tabel42[[#This Row],[20202]]</f>
        <v>0</v>
      </c>
      <c r="G120" s="53" t="e">
        <f>#REF!</f>
        <v>#REF!</v>
      </c>
      <c r="H120" s="53">
        <f>Tabel4268[[#This Row],[2022]]</f>
        <v>0</v>
      </c>
      <c r="I120" s="53"/>
    </row>
    <row r="121" spans="1:9" ht="28.9" hidden="1">
      <c r="A121" s="82" t="s">
        <v>170</v>
      </c>
      <c r="B121" s="67" t="s">
        <v>176</v>
      </c>
      <c r="C121" s="80" t="s">
        <v>177</v>
      </c>
      <c r="D121" s="36"/>
      <c r="E121" s="53">
        <f>Tabel4[[#This Row],[20192]]</f>
        <v>0</v>
      </c>
      <c r="F121" s="53">
        <f>Tabel42[[#This Row],[20202]]</f>
        <v>0</v>
      </c>
      <c r="G121" s="53" t="e">
        <f>#REF!</f>
        <v>#REF!</v>
      </c>
      <c r="H121" s="53">
        <f>Tabel4268[[#This Row],[2022]]</f>
        <v>0</v>
      </c>
      <c r="I121" s="53"/>
    </row>
    <row r="122" spans="1:9" ht="14.45" hidden="1">
      <c r="A122" s="82" t="s">
        <v>178</v>
      </c>
      <c r="B122" s="67" t="s">
        <v>179</v>
      </c>
      <c r="C122" s="80" t="s">
        <v>180</v>
      </c>
      <c r="D122" s="36"/>
      <c r="E122" s="53">
        <f>Tabel4[[#This Row],[20192]]</f>
        <v>0</v>
      </c>
      <c r="F122" s="53">
        <f>Tabel42[[#This Row],[20202]]</f>
        <v>0</v>
      </c>
      <c r="G122" s="53" t="e">
        <f>#REF!</f>
        <v>#REF!</v>
      </c>
      <c r="H122" s="53">
        <f>Tabel4268[[#This Row],[2022]]</f>
        <v>0</v>
      </c>
      <c r="I122" s="53"/>
    </row>
    <row r="123" spans="1:9" ht="57.6" hidden="1">
      <c r="A123" s="82" t="s">
        <v>178</v>
      </c>
      <c r="B123" s="67" t="s">
        <v>181</v>
      </c>
      <c r="C123" s="80" t="s">
        <v>182</v>
      </c>
      <c r="D123" s="36"/>
      <c r="E123" s="53">
        <f>Tabel4[[#This Row],[20192]]</f>
        <v>0</v>
      </c>
      <c r="F123" s="53">
        <f>Tabel42[[#This Row],[20202]]</f>
        <v>0</v>
      </c>
      <c r="G123" s="53" t="e">
        <f>#REF!</f>
        <v>#REF!</v>
      </c>
      <c r="H123" s="53">
        <f>Tabel4268[[#This Row],[2022]]</f>
        <v>0</v>
      </c>
      <c r="I123" s="53"/>
    </row>
    <row r="124" spans="1:9" ht="72" hidden="1">
      <c r="A124" s="82" t="s">
        <v>178</v>
      </c>
      <c r="B124" s="67" t="s">
        <v>183</v>
      </c>
      <c r="C124" s="80" t="s">
        <v>184</v>
      </c>
      <c r="D124" s="36"/>
      <c r="E124" s="53">
        <f>Tabel4[[#This Row],[20192]]</f>
        <v>0</v>
      </c>
      <c r="F124" s="53">
        <f>Tabel42[[#This Row],[20202]]</f>
        <v>0</v>
      </c>
      <c r="G124" s="53" t="e">
        <f>#REF!</f>
        <v>#REF!</v>
      </c>
      <c r="H124" s="53">
        <f>Tabel4268[[#This Row],[2022]]</f>
        <v>0</v>
      </c>
      <c r="I124" s="53"/>
    </row>
    <row r="125" spans="1:9" ht="72" hidden="1">
      <c r="A125" s="82" t="s">
        <v>178</v>
      </c>
      <c r="B125" s="67" t="s">
        <v>185</v>
      </c>
      <c r="C125" s="80" t="s">
        <v>186</v>
      </c>
      <c r="D125" s="36"/>
      <c r="E125" s="53">
        <f>Tabel4[[#This Row],[20192]]</f>
        <v>0</v>
      </c>
      <c r="F125" s="53">
        <f>Tabel42[[#This Row],[20202]]</f>
        <v>0</v>
      </c>
      <c r="G125" s="53" t="e">
        <f>#REF!</f>
        <v>#REF!</v>
      </c>
      <c r="H125" s="53">
        <f>Tabel4268[[#This Row],[2022]]</f>
        <v>0</v>
      </c>
      <c r="I125" s="53"/>
    </row>
    <row r="126" spans="1:9" ht="72" hidden="1">
      <c r="A126" s="82" t="s">
        <v>178</v>
      </c>
      <c r="B126" s="67" t="s">
        <v>187</v>
      </c>
      <c r="C126" s="80" t="s">
        <v>188</v>
      </c>
      <c r="D126" s="36"/>
      <c r="E126" s="53">
        <f>Tabel4[[#This Row],[20192]]</f>
        <v>0</v>
      </c>
      <c r="F126" s="53">
        <f>Tabel42[[#This Row],[20202]]</f>
        <v>0</v>
      </c>
      <c r="G126" s="53" t="e">
        <f>#REF!</f>
        <v>#REF!</v>
      </c>
      <c r="H126" s="53">
        <f>Tabel4268[[#This Row],[2022]]</f>
        <v>0</v>
      </c>
      <c r="I126" s="53"/>
    </row>
    <row r="127" spans="1:9" ht="28.9" hidden="1">
      <c r="A127" s="82" t="s">
        <v>178</v>
      </c>
      <c r="B127" s="67" t="s">
        <v>189</v>
      </c>
      <c r="C127" s="80" t="s">
        <v>190</v>
      </c>
      <c r="D127" s="36"/>
      <c r="E127" s="53">
        <f>Tabel4[[#This Row],[20192]]</f>
        <v>0</v>
      </c>
      <c r="F127" s="53">
        <f>Tabel42[[#This Row],[20202]]</f>
        <v>0</v>
      </c>
      <c r="G127" s="53" t="e">
        <f>#REF!</f>
        <v>#REF!</v>
      </c>
      <c r="H127" s="53">
        <f>Tabel4268[[#This Row],[2022]]</f>
        <v>0</v>
      </c>
      <c r="I127" s="53"/>
    </row>
    <row r="128" spans="1:9" ht="86.45" hidden="1">
      <c r="A128" s="82" t="s">
        <v>178</v>
      </c>
      <c r="B128" s="67" t="s">
        <v>191</v>
      </c>
      <c r="C128" s="80" t="s">
        <v>192</v>
      </c>
      <c r="D128" s="36"/>
      <c r="E128" s="53">
        <f>Tabel4[[#This Row],[20192]]</f>
        <v>0</v>
      </c>
      <c r="F128" s="53">
        <f>Tabel42[[#This Row],[20202]]</f>
        <v>0</v>
      </c>
      <c r="G128" s="53" t="e">
        <f>#REF!</f>
        <v>#REF!</v>
      </c>
      <c r="H128" s="53">
        <f>Tabel4268[[#This Row],[2022]]</f>
        <v>0</v>
      </c>
      <c r="I128" s="53"/>
    </row>
    <row r="129" spans="1:9" ht="43.15" hidden="1">
      <c r="A129" s="82" t="s">
        <v>178</v>
      </c>
      <c r="B129" s="67" t="s">
        <v>193</v>
      </c>
      <c r="C129" s="80" t="s">
        <v>194</v>
      </c>
      <c r="D129" s="36"/>
      <c r="E129" s="53">
        <f>Tabel4[[#This Row],[20192]]</f>
        <v>0</v>
      </c>
      <c r="F129" s="53">
        <f>Tabel42[[#This Row],[20202]]</f>
        <v>0</v>
      </c>
      <c r="G129" s="53" t="e">
        <f>#REF!</f>
        <v>#REF!</v>
      </c>
      <c r="H129" s="53">
        <f>Tabel4268[[#This Row],[2022]]</f>
        <v>0</v>
      </c>
      <c r="I129" s="53"/>
    </row>
    <row r="130" spans="1:9" ht="86.45" hidden="1">
      <c r="A130" s="82" t="s">
        <v>178</v>
      </c>
      <c r="B130" s="67" t="s">
        <v>120</v>
      </c>
      <c r="C130" s="80" t="s">
        <v>121</v>
      </c>
      <c r="D130" s="36"/>
      <c r="E130" s="53">
        <f>Tabel4[[#This Row],[20192]]</f>
        <v>0</v>
      </c>
      <c r="F130" s="53">
        <f>Tabel42[[#This Row],[20202]]</f>
        <v>0</v>
      </c>
      <c r="G130" s="53" t="e">
        <f>#REF!</f>
        <v>#REF!</v>
      </c>
      <c r="H130" s="53">
        <f>Tabel4268[[#This Row],[2022]]</f>
        <v>0</v>
      </c>
      <c r="I130" s="53"/>
    </row>
    <row r="131" spans="1:9" ht="43.15" hidden="1">
      <c r="A131" s="82" t="s">
        <v>178</v>
      </c>
      <c r="B131" s="67" t="s">
        <v>168</v>
      </c>
      <c r="C131" s="80" t="s">
        <v>169</v>
      </c>
      <c r="D131" s="36"/>
      <c r="E131" s="53">
        <f>Tabel4[[#This Row],[20192]]</f>
        <v>0</v>
      </c>
      <c r="F131" s="53">
        <f>Tabel42[[#This Row],[20202]]</f>
        <v>0</v>
      </c>
      <c r="G131" s="53" t="e">
        <f>#REF!</f>
        <v>#REF!</v>
      </c>
      <c r="H131" s="53">
        <f>Tabel4268[[#This Row],[2022]]</f>
        <v>0</v>
      </c>
      <c r="I131" s="53"/>
    </row>
    <row r="132" spans="1:9" ht="57.6" hidden="1">
      <c r="A132" s="82" t="s">
        <v>178</v>
      </c>
      <c r="B132" s="67" t="s">
        <v>122</v>
      </c>
      <c r="C132" s="80" t="s">
        <v>123</v>
      </c>
      <c r="D132" s="36"/>
      <c r="E132" s="53">
        <f>Tabel4[[#This Row],[20192]]</f>
        <v>0</v>
      </c>
      <c r="F132" s="53">
        <f>Tabel42[[#This Row],[20202]]</f>
        <v>0</v>
      </c>
      <c r="G132" s="53" t="e">
        <f>#REF!</f>
        <v>#REF!</v>
      </c>
      <c r="H132" s="53">
        <f>Tabel4268[[#This Row],[2022]]</f>
        <v>0</v>
      </c>
      <c r="I132" s="53"/>
    </row>
    <row r="133" spans="1:9" ht="28.9" hidden="1">
      <c r="A133" s="82" t="s">
        <v>178</v>
      </c>
      <c r="B133" s="67" t="s">
        <v>124</v>
      </c>
      <c r="C133" s="80" t="s">
        <v>125</v>
      </c>
      <c r="D133" s="36"/>
      <c r="E133" s="53">
        <f>Tabel4[[#This Row],[20192]]</f>
        <v>0</v>
      </c>
      <c r="F133" s="53">
        <f>Tabel42[[#This Row],[20202]]</f>
        <v>0</v>
      </c>
      <c r="G133" s="53" t="e">
        <f>#REF!</f>
        <v>#REF!</v>
      </c>
      <c r="H133" s="53">
        <f>Tabel4268[[#This Row],[2022]]</f>
        <v>0</v>
      </c>
      <c r="I133" s="53"/>
    </row>
    <row r="134" spans="1:9" ht="14.45" hidden="1">
      <c r="A134" s="82" t="s">
        <v>178</v>
      </c>
      <c r="B134" s="67" t="s">
        <v>195</v>
      </c>
      <c r="C134" s="80" t="s">
        <v>196</v>
      </c>
      <c r="D134" s="36"/>
      <c r="E134" s="53">
        <f>Tabel4[[#This Row],[20192]]</f>
        <v>0</v>
      </c>
      <c r="F134" s="53">
        <f>Tabel42[[#This Row],[20202]]</f>
        <v>0</v>
      </c>
      <c r="G134" s="53" t="e">
        <f>#REF!</f>
        <v>#REF!</v>
      </c>
      <c r="H134" s="53">
        <f>Tabel4268[[#This Row],[2022]]</f>
        <v>0</v>
      </c>
      <c r="I134" s="53"/>
    </row>
    <row r="135" spans="1:9" ht="43.15" hidden="1">
      <c r="A135" s="82" t="s">
        <v>178</v>
      </c>
      <c r="B135" s="67" t="s">
        <v>197</v>
      </c>
      <c r="C135" s="80" t="s">
        <v>198</v>
      </c>
      <c r="D135" s="36"/>
      <c r="E135" s="53">
        <f>Tabel4[[#This Row],[20192]]</f>
        <v>0</v>
      </c>
      <c r="F135" s="53">
        <f>Tabel42[[#This Row],[20202]]</f>
        <v>0</v>
      </c>
      <c r="G135" s="53" t="e">
        <f>#REF!</f>
        <v>#REF!</v>
      </c>
      <c r="H135" s="53">
        <f>Tabel4268[[#This Row],[2022]]</f>
        <v>0</v>
      </c>
      <c r="I135" s="53"/>
    </row>
    <row r="136" spans="1:9" ht="43.15" hidden="1">
      <c r="A136" s="82" t="s">
        <v>199</v>
      </c>
      <c r="B136" s="67" t="s">
        <v>197</v>
      </c>
      <c r="C136" s="80" t="s">
        <v>198</v>
      </c>
      <c r="D136" s="36"/>
      <c r="E136" s="53">
        <f>Tabel4[[#This Row],[20192]]</f>
        <v>0</v>
      </c>
      <c r="F136" s="53">
        <f>Tabel42[[#This Row],[20202]]</f>
        <v>0</v>
      </c>
      <c r="G136" s="53" t="e">
        <f>#REF!</f>
        <v>#REF!</v>
      </c>
      <c r="H136" s="53">
        <f>Tabel4268[[#This Row],[2022]]</f>
        <v>0</v>
      </c>
      <c r="I136" s="53"/>
    </row>
    <row r="137" spans="1:9" ht="100.9" hidden="1">
      <c r="A137" s="82" t="s">
        <v>199</v>
      </c>
      <c r="B137" s="67" t="s">
        <v>200</v>
      </c>
      <c r="C137" s="80" t="s">
        <v>201</v>
      </c>
      <c r="D137" s="36"/>
      <c r="E137" s="53">
        <f>Tabel4[[#This Row],[20192]]</f>
        <v>0</v>
      </c>
      <c r="F137" s="53">
        <f>Tabel42[[#This Row],[20202]]</f>
        <v>0</v>
      </c>
      <c r="G137" s="53" t="e">
        <f>#REF!</f>
        <v>#REF!</v>
      </c>
      <c r="H137" s="53">
        <f>Tabel4268[[#This Row],[2022]]</f>
        <v>0</v>
      </c>
      <c r="I137" s="53"/>
    </row>
    <row r="138" spans="1:9" ht="100.9" hidden="1">
      <c r="A138" s="82" t="s">
        <v>199</v>
      </c>
      <c r="B138" s="67" t="s">
        <v>202</v>
      </c>
      <c r="C138" s="80" t="s">
        <v>203</v>
      </c>
      <c r="D138" s="36"/>
      <c r="E138" s="53">
        <f>Tabel4[[#This Row],[20192]]</f>
        <v>0</v>
      </c>
      <c r="F138" s="53">
        <f>Tabel42[[#This Row],[20202]]</f>
        <v>0</v>
      </c>
      <c r="G138" s="53" t="e">
        <f>#REF!</f>
        <v>#REF!</v>
      </c>
      <c r="H138" s="53">
        <f>Tabel4268[[#This Row],[2022]]</f>
        <v>0</v>
      </c>
      <c r="I138" s="53"/>
    </row>
    <row r="139" spans="1:9" ht="57.6" hidden="1">
      <c r="A139" s="82" t="s">
        <v>199</v>
      </c>
      <c r="B139" s="67" t="s">
        <v>204</v>
      </c>
      <c r="C139" s="80" t="s">
        <v>205</v>
      </c>
      <c r="D139" s="36"/>
      <c r="E139" s="53">
        <f>Tabel4[[#This Row],[20192]]</f>
        <v>0</v>
      </c>
      <c r="F139" s="53">
        <f>Tabel42[[#This Row],[20202]]</f>
        <v>0</v>
      </c>
      <c r="G139" s="53" t="e">
        <f>#REF!</f>
        <v>#REF!</v>
      </c>
      <c r="H139" s="53">
        <f>Tabel4268[[#This Row],[2022]]</f>
        <v>0</v>
      </c>
      <c r="I139" s="53"/>
    </row>
    <row r="140" spans="1:9" ht="28.9" hidden="1">
      <c r="A140" s="82" t="s">
        <v>199</v>
      </c>
      <c r="B140" s="67" t="s">
        <v>206</v>
      </c>
      <c r="C140" s="80" t="s">
        <v>207</v>
      </c>
      <c r="D140" s="36"/>
      <c r="E140" s="53">
        <f>Tabel4[[#This Row],[20192]]</f>
        <v>0</v>
      </c>
      <c r="F140" s="53">
        <f>Tabel42[[#This Row],[20202]]</f>
        <v>0</v>
      </c>
      <c r="G140" s="53" t="e">
        <f>#REF!</f>
        <v>#REF!</v>
      </c>
      <c r="H140" s="53">
        <f>Tabel4268[[#This Row],[2022]]</f>
        <v>0</v>
      </c>
      <c r="I140" s="53"/>
    </row>
    <row r="141" spans="1:9" ht="57.6" hidden="1">
      <c r="A141" s="82" t="s">
        <v>199</v>
      </c>
      <c r="B141" s="67" t="s">
        <v>208</v>
      </c>
      <c r="C141" s="80" t="s">
        <v>209</v>
      </c>
      <c r="D141" s="36"/>
      <c r="E141" s="53">
        <f>Tabel4[[#This Row],[20192]]</f>
        <v>0</v>
      </c>
      <c r="F141" s="53">
        <f>Tabel42[[#This Row],[20202]]</f>
        <v>0</v>
      </c>
      <c r="G141" s="53" t="e">
        <f>#REF!</f>
        <v>#REF!</v>
      </c>
      <c r="H141" s="53">
        <f>Tabel4268[[#This Row],[2022]]</f>
        <v>0</v>
      </c>
      <c r="I141" s="53"/>
    </row>
    <row r="142" spans="1:9" ht="43.15" hidden="1">
      <c r="A142" s="82" t="s">
        <v>199</v>
      </c>
      <c r="B142" s="67" t="s">
        <v>210</v>
      </c>
      <c r="C142" s="80" t="s">
        <v>211</v>
      </c>
      <c r="D142" s="36"/>
      <c r="E142" s="53">
        <f>Tabel4[[#This Row],[20192]]</f>
        <v>0</v>
      </c>
      <c r="F142" s="53">
        <f>Tabel42[[#This Row],[20202]]</f>
        <v>0</v>
      </c>
      <c r="G142" s="53" t="e">
        <f>#REF!</f>
        <v>#REF!</v>
      </c>
      <c r="H142" s="53">
        <f>Tabel4268[[#This Row],[2022]]</f>
        <v>0</v>
      </c>
      <c r="I142" s="53"/>
    </row>
    <row r="143" spans="1:9" ht="28.9" hidden="1">
      <c r="A143" s="82" t="s">
        <v>199</v>
      </c>
      <c r="B143" s="67" t="s">
        <v>212</v>
      </c>
      <c r="C143" s="80" t="s">
        <v>213</v>
      </c>
      <c r="D143" s="36"/>
      <c r="E143" s="53">
        <f>Tabel4[[#This Row],[20192]]</f>
        <v>0</v>
      </c>
      <c r="F143" s="53">
        <f>Tabel42[[#This Row],[20202]]</f>
        <v>0</v>
      </c>
      <c r="G143" s="53" t="e">
        <f>#REF!</f>
        <v>#REF!</v>
      </c>
      <c r="H143" s="53">
        <f>Tabel4268[[#This Row],[2022]]</f>
        <v>0</v>
      </c>
      <c r="I143" s="53"/>
    </row>
    <row r="144" spans="1:9" ht="110.45" customHeight="1">
      <c r="A144" s="43"/>
      <c r="B144" s="67" t="s">
        <v>238</v>
      </c>
      <c r="C144" s="78" t="s">
        <v>239</v>
      </c>
      <c r="D144" s="36"/>
      <c r="E144" s="53">
        <f>'POP 2019'!E157</f>
        <v>0</v>
      </c>
      <c r="F144" s="53">
        <f>'POP 2020'!F157</f>
        <v>0</v>
      </c>
      <c r="G144" s="53">
        <f>'POP 2021'!G144</f>
        <v>0</v>
      </c>
      <c r="H144" s="53">
        <f>'POP 2022'!H157</f>
        <v>0</v>
      </c>
      <c r="I144" s="53"/>
    </row>
    <row r="145" spans="1:9" ht="132.6" customHeight="1">
      <c r="A145" s="43"/>
      <c r="B145" s="67" t="s">
        <v>240</v>
      </c>
      <c r="C145" s="45" t="s">
        <v>241</v>
      </c>
      <c r="D145" s="36"/>
      <c r="E145" s="53">
        <f>'POP 2019'!E158</f>
        <v>0</v>
      </c>
      <c r="F145" s="53">
        <f>'POP 2020'!F158</f>
        <v>0</v>
      </c>
      <c r="G145" s="53">
        <f>'POP 2021'!G145</f>
        <v>0</v>
      </c>
      <c r="H145" s="53">
        <f>'POP 2022'!H158</f>
        <v>0</v>
      </c>
      <c r="I145" s="53"/>
    </row>
    <row r="146" spans="1:9" ht="129.6">
      <c r="A146" s="75"/>
      <c r="B146" s="83" t="s">
        <v>242</v>
      </c>
      <c r="C146" s="79" t="s">
        <v>243</v>
      </c>
      <c r="D146" s="44"/>
      <c r="E146" s="53">
        <f>'POP 2019'!E159</f>
        <v>0</v>
      </c>
      <c r="F146" s="53">
        <f>'POP 2020'!F159</f>
        <v>0</v>
      </c>
      <c r="G146" s="53">
        <f>'POP 2021'!G146</f>
        <v>0</v>
      </c>
      <c r="H146" s="53">
        <f>'POP 2022'!H159</f>
        <v>0</v>
      </c>
      <c r="I146" s="84"/>
    </row>
    <row r="147" spans="1:9" ht="49.9" customHeight="1">
      <c r="A147"/>
      <c r="B147" s="83" t="s">
        <v>27</v>
      </c>
      <c r="C147" s="60"/>
      <c r="D147" s="44"/>
      <c r="E147" s="53">
        <f>'POP 2019'!E160</f>
        <v>0</v>
      </c>
      <c r="F147" s="53" t="str">
        <f>'POP 2020'!F160</f>
        <v>nvt</v>
      </c>
      <c r="G147" s="53">
        <f>'POP 2021'!G147</f>
        <v>0</v>
      </c>
      <c r="H147" s="53" t="str">
        <f>'POP 2022'!H160</f>
        <v>nvt</v>
      </c>
      <c r="I147" s="84"/>
    </row>
    <row r="148" spans="1:9" ht="15">
      <c r="A148"/>
      <c r="B148" s="62"/>
      <c r="C148" s="63"/>
      <c r="E148" s="61"/>
      <c r="F148" s="61"/>
      <c r="G148" s="61"/>
      <c r="H148" s="61"/>
      <c r="I148" s="61"/>
    </row>
    <row r="149" spans="1:9" ht="18">
      <c r="A149"/>
      <c r="B149" s="12" t="s">
        <v>245</v>
      </c>
      <c r="C149" s="63"/>
      <c r="E149" s="61"/>
      <c r="F149" s="61"/>
      <c r="G149" s="61"/>
      <c r="H149" s="61"/>
      <c r="I149" s="61"/>
    </row>
    <row r="150" spans="1:9" ht="48" customHeight="1">
      <c r="A150"/>
      <c r="B150" s="64" t="s">
        <v>246</v>
      </c>
      <c r="C150" s="173"/>
      <c r="D150" s="173"/>
      <c r="E150" s="173"/>
      <c r="F150" s="173"/>
      <c r="G150" s="173"/>
      <c r="H150" s="173"/>
      <c r="I150" s="174"/>
    </row>
    <row r="151" spans="1:9" ht="49.15" customHeight="1">
      <c r="A151"/>
      <c r="B151" s="65" t="s">
        <v>247</v>
      </c>
      <c r="C151" s="173"/>
      <c r="D151" s="173"/>
      <c r="E151" s="173"/>
      <c r="F151" s="173"/>
      <c r="G151" s="173"/>
      <c r="H151" s="173"/>
      <c r="I151" s="174"/>
    </row>
    <row r="152" spans="1:9" ht="15">
      <c r="A152"/>
      <c r="B152" s="62"/>
      <c r="C152" s="63"/>
      <c r="E152" s="61"/>
      <c r="F152" s="61"/>
      <c r="G152" s="61"/>
      <c r="H152" s="61"/>
      <c r="I152" s="61"/>
    </row>
    <row r="153" spans="1:9" ht="16.899999999999999" customHeight="1">
      <c r="B153" s="12" t="s">
        <v>248</v>
      </c>
    </row>
    <row r="155" spans="1:9" ht="27" customHeight="1">
      <c r="B155" s="35" t="s">
        <v>249</v>
      </c>
      <c r="C155" s="35" t="s">
        <v>250</v>
      </c>
      <c r="D155" s="169" t="s">
        <v>251</v>
      </c>
      <c r="E155" s="169"/>
      <c r="F155" s="179" t="s">
        <v>252</v>
      </c>
      <c r="G155" s="180"/>
      <c r="H155" s="181" t="s">
        <v>253</v>
      </c>
      <c r="I155" s="182"/>
    </row>
    <row r="156" spans="1:9" ht="45" customHeight="1">
      <c r="B156" s="68"/>
      <c r="C156" s="68"/>
      <c r="D156" s="170"/>
      <c r="E156" s="171"/>
      <c r="F156" s="177"/>
      <c r="G156" s="178"/>
      <c r="H156" s="175"/>
      <c r="I156" s="176"/>
    </row>
    <row r="157" spans="1:9" ht="45" customHeight="1">
      <c r="B157" s="68"/>
      <c r="C157" s="68"/>
      <c r="D157" s="170"/>
      <c r="E157" s="171"/>
      <c r="F157" s="177"/>
      <c r="G157" s="178"/>
      <c r="H157" s="175"/>
      <c r="I157" s="176"/>
    </row>
    <row r="158" spans="1:9" ht="45" customHeight="1">
      <c r="B158" s="68"/>
      <c r="C158" s="68"/>
      <c r="D158" s="170"/>
      <c r="E158" s="171"/>
      <c r="F158" s="177"/>
      <c r="G158" s="178"/>
      <c r="H158" s="175"/>
      <c r="I158" s="176"/>
    </row>
    <row r="159" spans="1:9" ht="45" customHeight="1">
      <c r="B159" s="68"/>
      <c r="C159" s="68"/>
      <c r="D159" s="170"/>
      <c r="E159" s="171"/>
      <c r="F159" s="177"/>
      <c r="G159" s="178"/>
      <c r="H159" s="175"/>
      <c r="I159" s="176"/>
    </row>
    <row r="160" spans="1:9" ht="16.899999999999999" customHeight="1">
      <c r="B160" s="73" t="s">
        <v>254</v>
      </c>
      <c r="C160" s="71"/>
      <c r="D160" s="71"/>
      <c r="E160" s="71"/>
      <c r="F160" s="72"/>
      <c r="H160" s="86"/>
      <c r="I160" s="86"/>
    </row>
    <row r="161" spans="2:9" ht="45" customHeight="1">
      <c r="B161" s="68"/>
      <c r="C161" s="68"/>
      <c r="D161" s="170"/>
      <c r="E161" s="171"/>
      <c r="F161" s="177"/>
      <c r="G161" s="178"/>
      <c r="H161" s="175"/>
      <c r="I161" s="176"/>
    </row>
    <row r="162" spans="2:9" ht="45" customHeight="1">
      <c r="B162" s="68"/>
      <c r="C162" s="68"/>
      <c r="D162" s="170"/>
      <c r="E162" s="171"/>
      <c r="F162" s="177"/>
      <c r="G162" s="178"/>
      <c r="H162" s="175"/>
      <c r="I162" s="176"/>
    </row>
    <row r="163" spans="2:9" ht="16.899999999999999" customHeight="1">
      <c r="B163" s="74" t="s">
        <v>255</v>
      </c>
      <c r="C163" s="71"/>
      <c r="D163" s="71"/>
      <c r="E163" s="71"/>
      <c r="F163" s="72"/>
    </row>
    <row r="164" spans="2:9" ht="45" customHeight="1">
      <c r="B164" s="191"/>
      <c r="C164" s="173"/>
      <c r="D164" s="173"/>
      <c r="E164" s="173"/>
      <c r="F164" s="173"/>
      <c r="G164" s="173"/>
      <c r="H164" s="173"/>
      <c r="I164" s="174"/>
    </row>
    <row r="166" spans="2:9" ht="16.899999999999999" customHeight="1">
      <c r="B166" s="49" t="s">
        <v>256</v>
      </c>
    </row>
    <row r="168" spans="2:9" ht="26.45" customHeight="1">
      <c r="B168" s="48" t="s">
        <v>257</v>
      </c>
      <c r="C168" s="187" t="s">
        <v>258</v>
      </c>
      <c r="D168" s="187"/>
      <c r="E168" s="187"/>
      <c r="F168" s="66"/>
      <c r="G168" s="186" t="s">
        <v>253</v>
      </c>
      <c r="H168" s="186"/>
      <c r="I168" s="69" t="s">
        <v>259</v>
      </c>
    </row>
    <row r="169" spans="2:9" ht="45" customHeight="1">
      <c r="B169" s="68" t="str">
        <f>IF(B156="","",B156)</f>
        <v/>
      </c>
      <c r="C169" s="183"/>
      <c r="D169" s="184"/>
      <c r="E169" s="184"/>
      <c r="F169" s="185"/>
      <c r="G169" s="170" t="str">
        <f>IF(H156="","",H156)</f>
        <v/>
      </c>
      <c r="H169" s="171"/>
      <c r="I169" s="85"/>
    </row>
    <row r="170" spans="2:9" ht="45" customHeight="1">
      <c r="B170" s="68" t="str">
        <f t="shared" ref="B170:B172" si="0">IF(B157="","",B157)</f>
        <v/>
      </c>
      <c r="C170" s="183"/>
      <c r="D170" s="184"/>
      <c r="E170" s="184"/>
      <c r="F170" s="185"/>
      <c r="G170" s="170" t="str">
        <f t="shared" ref="G170:G172" si="1">IF(H157="","",H157)</f>
        <v/>
      </c>
      <c r="H170" s="171"/>
      <c r="I170" s="85"/>
    </row>
    <row r="171" spans="2:9" ht="45" customHeight="1">
      <c r="B171" s="68" t="str">
        <f t="shared" si="0"/>
        <v/>
      </c>
      <c r="C171" s="183"/>
      <c r="D171" s="184"/>
      <c r="E171" s="184"/>
      <c r="F171" s="185"/>
      <c r="G171" s="170" t="str">
        <f t="shared" si="1"/>
        <v/>
      </c>
      <c r="H171" s="171"/>
      <c r="I171" s="85"/>
    </row>
    <row r="172" spans="2:9" ht="45" customHeight="1">
      <c r="B172" s="68" t="str">
        <f t="shared" si="0"/>
        <v/>
      </c>
      <c r="C172" s="183"/>
      <c r="D172" s="184"/>
      <c r="E172" s="184"/>
      <c r="F172" s="185"/>
      <c r="G172" s="170" t="str">
        <f t="shared" si="1"/>
        <v/>
      </c>
      <c r="H172" s="171"/>
      <c r="I172" s="85"/>
    </row>
    <row r="173" spans="2:9" ht="45" customHeight="1">
      <c r="B173" s="68" t="str">
        <f>IF(B161="","",B161)</f>
        <v/>
      </c>
      <c r="C173" s="183"/>
      <c r="D173" s="184"/>
      <c r="E173" s="184"/>
      <c r="F173" s="185"/>
      <c r="G173" s="170" t="str">
        <f>IF(H161="","",H161)</f>
        <v/>
      </c>
      <c r="H173" s="171"/>
      <c r="I173" s="85"/>
    </row>
    <row r="174" spans="2:9" ht="45" customHeight="1">
      <c r="B174" s="68" t="str">
        <f>IF(B162="","",B162)</f>
        <v/>
      </c>
      <c r="C174" s="183"/>
      <c r="D174" s="184"/>
      <c r="E174" s="184"/>
      <c r="F174" s="185"/>
      <c r="G174" s="170" t="str">
        <f>IF(H162="","",H162)</f>
        <v/>
      </c>
      <c r="H174" s="171"/>
      <c r="I174" s="85"/>
    </row>
    <row r="177" spans="2:9" ht="16.899999999999999" customHeight="1">
      <c r="B177" s="50" t="s">
        <v>262</v>
      </c>
    </row>
    <row r="179" spans="2:9" ht="26.45" customHeight="1">
      <c r="B179" s="51" t="s">
        <v>257</v>
      </c>
      <c r="C179" s="188" t="s">
        <v>258</v>
      </c>
      <c r="D179" s="188"/>
      <c r="E179" s="188"/>
      <c r="F179" s="188"/>
      <c r="G179" s="190" t="s">
        <v>253</v>
      </c>
      <c r="H179" s="190"/>
      <c r="I179" s="70" t="s">
        <v>259</v>
      </c>
    </row>
    <row r="180" spans="2:9" ht="45" customHeight="1">
      <c r="B180" s="68" t="str">
        <f>IF(I169="Ja",B169,"")</f>
        <v/>
      </c>
      <c r="C180" s="170"/>
      <c r="D180" s="189"/>
      <c r="E180" s="189"/>
      <c r="F180" s="171"/>
      <c r="G180" s="175" t="str">
        <f>IF(I169="Ja",G169,"")</f>
        <v/>
      </c>
      <c r="H180" s="176"/>
      <c r="I180" s="85"/>
    </row>
    <row r="181" spans="2:9" ht="45" customHeight="1">
      <c r="B181" s="68" t="str">
        <f t="shared" ref="B181:B185" si="2">IF(I170="Ja",B170,"")</f>
        <v/>
      </c>
      <c r="C181" s="170"/>
      <c r="D181" s="189"/>
      <c r="E181" s="189"/>
      <c r="F181" s="171"/>
      <c r="G181" s="175" t="str">
        <f t="shared" ref="G181:G185" si="3">IF(I170="Ja",G170,"")</f>
        <v/>
      </c>
      <c r="H181" s="176"/>
      <c r="I181" s="85"/>
    </row>
    <row r="182" spans="2:9" ht="45" customHeight="1">
      <c r="B182" s="68" t="str">
        <f t="shared" si="2"/>
        <v/>
      </c>
      <c r="C182" s="170"/>
      <c r="D182" s="189"/>
      <c r="E182" s="189"/>
      <c r="F182" s="171"/>
      <c r="G182" s="175" t="str">
        <f t="shared" si="3"/>
        <v/>
      </c>
      <c r="H182" s="176"/>
      <c r="I182" s="85"/>
    </row>
    <row r="183" spans="2:9" ht="45" customHeight="1">
      <c r="B183" s="68" t="str">
        <f t="shared" si="2"/>
        <v/>
      </c>
      <c r="C183" s="170"/>
      <c r="D183" s="189"/>
      <c r="E183" s="189"/>
      <c r="F183" s="171"/>
      <c r="G183" s="175" t="str">
        <f t="shared" si="3"/>
        <v/>
      </c>
      <c r="H183" s="176"/>
      <c r="I183" s="85"/>
    </row>
    <row r="184" spans="2:9" ht="45" customHeight="1">
      <c r="B184" s="68" t="str">
        <f t="shared" si="2"/>
        <v/>
      </c>
      <c r="C184" s="170"/>
      <c r="D184" s="189"/>
      <c r="E184" s="189"/>
      <c r="F184" s="171"/>
      <c r="G184" s="175" t="str">
        <f t="shared" si="3"/>
        <v/>
      </c>
      <c r="H184" s="176"/>
      <c r="I184" s="85"/>
    </row>
    <row r="185" spans="2:9" ht="45" customHeight="1">
      <c r="B185" s="68" t="str">
        <f t="shared" si="2"/>
        <v/>
      </c>
      <c r="C185" s="170"/>
      <c r="D185" s="189"/>
      <c r="E185" s="189"/>
      <c r="F185" s="171"/>
      <c r="G185" s="175" t="str">
        <f t="shared" si="3"/>
        <v/>
      </c>
      <c r="H185" s="176"/>
      <c r="I185" s="85"/>
    </row>
  </sheetData>
  <mergeCells count="87">
    <mergeCell ref="E9:F9"/>
    <mergeCell ref="G4:I4"/>
    <mergeCell ref="E5:F5"/>
    <mergeCell ref="E6:F6"/>
    <mergeCell ref="E7:F7"/>
    <mergeCell ref="E8:F8"/>
    <mergeCell ref="C26:I26"/>
    <mergeCell ref="C13:I13"/>
    <mergeCell ref="C14:I14"/>
    <mergeCell ref="C15:I15"/>
    <mergeCell ref="C18:I18"/>
    <mergeCell ref="C19:I19"/>
    <mergeCell ref="C20:I20"/>
    <mergeCell ref="C21:I21"/>
    <mergeCell ref="C22:I22"/>
    <mergeCell ref="C23:I23"/>
    <mergeCell ref="C24:I24"/>
    <mergeCell ref="C25:I25"/>
    <mergeCell ref="C46:I46"/>
    <mergeCell ref="C29:I29"/>
    <mergeCell ref="C30:I30"/>
    <mergeCell ref="C33:I33"/>
    <mergeCell ref="C34:I34"/>
    <mergeCell ref="C35:I35"/>
    <mergeCell ref="C38:I38"/>
    <mergeCell ref="C39:I39"/>
    <mergeCell ref="C40:I40"/>
    <mergeCell ref="C43:I43"/>
    <mergeCell ref="C44:I44"/>
    <mergeCell ref="C45:I45"/>
    <mergeCell ref="D156:E156"/>
    <mergeCell ref="F156:G156"/>
    <mergeCell ref="H156:I156"/>
    <mergeCell ref="C47:I47"/>
    <mergeCell ref="E49:I49"/>
    <mergeCell ref="E50:I50"/>
    <mergeCell ref="E74:I74"/>
    <mergeCell ref="E75:I75"/>
    <mergeCell ref="C150:I150"/>
    <mergeCell ref="C151:I151"/>
    <mergeCell ref="D155:E155"/>
    <mergeCell ref="F155:G155"/>
    <mergeCell ref="H155:I155"/>
    <mergeCell ref="D157:E157"/>
    <mergeCell ref="F157:G157"/>
    <mergeCell ref="H157:I157"/>
    <mergeCell ref="D158:E158"/>
    <mergeCell ref="F158:G158"/>
    <mergeCell ref="H158:I158"/>
    <mergeCell ref="D159:E159"/>
    <mergeCell ref="F159:G159"/>
    <mergeCell ref="H159:I159"/>
    <mergeCell ref="D161:E161"/>
    <mergeCell ref="F161:G161"/>
    <mergeCell ref="H161:I161"/>
    <mergeCell ref="D162:E162"/>
    <mergeCell ref="F162:G162"/>
    <mergeCell ref="H162:I162"/>
    <mergeCell ref="B164:I164"/>
    <mergeCell ref="C168:E168"/>
    <mergeCell ref="G168:H168"/>
    <mergeCell ref="C169:F169"/>
    <mergeCell ref="G169:H169"/>
    <mergeCell ref="C170:F170"/>
    <mergeCell ref="G170:H170"/>
    <mergeCell ref="C171:F171"/>
    <mergeCell ref="G171:H171"/>
    <mergeCell ref="C172:F172"/>
    <mergeCell ref="G172:H172"/>
    <mergeCell ref="C173:F173"/>
    <mergeCell ref="G173:H173"/>
    <mergeCell ref="C174:F174"/>
    <mergeCell ref="G174:H174"/>
    <mergeCell ref="C179:F179"/>
    <mergeCell ref="G179:H179"/>
    <mergeCell ref="C180:F180"/>
    <mergeCell ref="G180:H180"/>
    <mergeCell ref="C181:F181"/>
    <mergeCell ref="G181:H181"/>
    <mergeCell ref="C185:F185"/>
    <mergeCell ref="G185:H185"/>
    <mergeCell ref="C182:F182"/>
    <mergeCell ref="G182:H182"/>
    <mergeCell ref="C183:F183"/>
    <mergeCell ref="G183:H183"/>
    <mergeCell ref="C184:F184"/>
    <mergeCell ref="G184:H184"/>
  </mergeCells>
  <conditionalFormatting sqref="E77:I147">
    <cfRule type="cellIs" dxfId="20" priority="1" operator="equal">
      <formula>"slecht"</formula>
    </cfRule>
    <cfRule type="cellIs" dxfId="19" priority="2" operator="equal">
      <formula>"minder goed"</formula>
    </cfRule>
    <cfRule type="cellIs" dxfId="18" priority="3" operator="equal">
      <formula>"middelmatig"</formula>
    </cfRule>
    <cfRule type="cellIs" dxfId="17" priority="4" operator="equal">
      <formula>"goed"</formula>
    </cfRule>
    <cfRule type="cellIs" dxfId="16" priority="5" operator="equal">
      <formula>"zeer goed"</formula>
    </cfRule>
  </conditionalFormatting>
  <conditionalFormatting sqref="E52:I60">
    <cfRule type="cellIs" dxfId="15" priority="6" operator="equal">
      <formula>"slecht"</formula>
    </cfRule>
    <cfRule type="cellIs" dxfId="14" priority="7" operator="equal">
      <formula>"minder goed"</formula>
    </cfRule>
    <cfRule type="cellIs" dxfId="13" priority="8" operator="equal">
      <formula>"middelmatig"</formula>
    </cfRule>
    <cfRule type="cellIs" dxfId="12" priority="9" operator="equal">
      <formula>"goed"</formula>
    </cfRule>
    <cfRule type="cellIs" dxfId="11" priority="10" operator="equal">
      <formula>"zeer goed"</formula>
    </cfRule>
  </conditionalFormatting>
  <pageMargins left="0.19685039370078741" right="0.19685039370078741" top="0.35433070866141736" bottom="0.35433070866141736" header="0.31496062992125984" footer="0.31496062992125984"/>
  <pageSetup paperSize="9" orientation="landscape" r:id="rId1"/>
  <rowBreaks count="7" manualBreakCount="7">
    <brk id="36" max="16383" man="1"/>
    <brk id="47" max="16383" man="1"/>
    <brk id="61" max="16383" man="1"/>
    <brk id="148" max="16383" man="1"/>
    <brk id="152" max="16383" man="1"/>
    <brk id="165" max="16383" man="1"/>
    <brk id="176" max="16383"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Codes!$A$28:$A$32</xm:f>
          </x14:formula1>
          <xm:sqref>E152:I152 I52:I60 E148:H149 I148:I149</xm:sqref>
        </x14:dataValidation>
        <x14:dataValidation type="list" allowBlank="1" showInputMessage="1" showErrorMessage="1" xr:uid="{00000000-0002-0000-0600-000001000000}">
          <x14:formula1>
            <xm:f>Codes!$A$35:$A$37</xm:f>
          </x14:formula1>
          <xm:sqref>H156:I159 H161:I162</xm:sqref>
        </x14:dataValidation>
        <x14:dataValidation type="list" allowBlank="1" showInputMessage="1" showErrorMessage="1" xr:uid="{00000000-0002-0000-0600-000002000000}">
          <x14:formula1>
            <xm:f>Codes!$A$39:$A$40</xm:f>
          </x14:formula1>
          <xm:sqref>I169:I174 I180:I185</xm:sqref>
        </x14:dataValidation>
        <x14:dataValidation type="list" allowBlank="1" showInputMessage="1" showErrorMessage="1" xr:uid="{00000000-0002-0000-0600-000003000000}">
          <x14:formula1>
            <xm:f>Codes!$A$28:$A$33</xm:f>
          </x14:formula1>
          <xm:sqref>I77:I147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6"/>
  <dimension ref="A1:A40"/>
  <sheetViews>
    <sheetView topLeftCell="A10" workbookViewId="0">
      <selection activeCell="A33" sqref="A33"/>
    </sheetView>
  </sheetViews>
  <sheetFormatPr defaultRowHeight="14.45"/>
  <cols>
    <col min="5" max="5" width="31.5703125" customWidth="1"/>
    <col min="6" max="6" width="47.7109375" customWidth="1"/>
  </cols>
  <sheetData>
    <row r="1" spans="1:1">
      <c r="A1" t="s">
        <v>276</v>
      </c>
    </row>
    <row r="2" spans="1:1">
      <c r="A2" t="s">
        <v>178</v>
      </c>
    </row>
    <row r="3" spans="1:1">
      <c r="A3" t="s">
        <v>99</v>
      </c>
    </row>
    <row r="4" spans="1:1">
      <c r="A4" t="s">
        <v>277</v>
      </c>
    </row>
    <row r="7" spans="1:1">
      <c r="A7" t="s">
        <v>278</v>
      </c>
    </row>
    <row r="8" spans="1:1">
      <c r="A8" t="s">
        <v>279</v>
      </c>
    </row>
    <row r="9" spans="1:1">
      <c r="A9" t="s">
        <v>280</v>
      </c>
    </row>
    <row r="10" spans="1:1">
      <c r="A10" t="s">
        <v>281</v>
      </c>
    </row>
    <row r="11" spans="1:1">
      <c r="A11" t="s">
        <v>282</v>
      </c>
    </row>
    <row r="12" spans="1:1">
      <c r="A12" t="s">
        <v>283</v>
      </c>
    </row>
    <row r="14" spans="1:1">
      <c r="A14" t="s">
        <v>284</v>
      </c>
    </row>
    <row r="15" spans="1:1">
      <c r="A15" t="s">
        <v>285</v>
      </c>
    </row>
    <row r="16" spans="1:1">
      <c r="A16" t="s">
        <v>286</v>
      </c>
    </row>
    <row r="17" spans="1:1">
      <c r="A17" t="s">
        <v>287</v>
      </c>
    </row>
    <row r="18" spans="1:1">
      <c r="A18" t="s">
        <v>288</v>
      </c>
    </row>
    <row r="20" spans="1:1">
      <c r="A20" t="s">
        <v>99</v>
      </c>
    </row>
    <row r="21" spans="1:1">
      <c r="A21" t="s">
        <v>126</v>
      </c>
    </row>
    <row r="22" spans="1:1">
      <c r="A22" t="s">
        <v>141</v>
      </c>
    </row>
    <row r="23" spans="1:1">
      <c r="A23" t="s">
        <v>157</v>
      </c>
    </row>
    <row r="24" spans="1:1">
      <c r="A24" t="s">
        <v>170</v>
      </c>
    </row>
    <row r="25" spans="1:1">
      <c r="A25" t="s">
        <v>178</v>
      </c>
    </row>
    <row r="26" spans="1:1">
      <c r="A26" t="s">
        <v>276</v>
      </c>
    </row>
    <row r="28" spans="1:1">
      <c r="A28" t="s">
        <v>289</v>
      </c>
    </row>
    <row r="29" spans="1:1">
      <c r="A29" t="s">
        <v>290</v>
      </c>
    </row>
    <row r="30" spans="1:1">
      <c r="A30" t="s">
        <v>291</v>
      </c>
    </row>
    <row r="31" spans="1:1">
      <c r="A31" t="s">
        <v>292</v>
      </c>
    </row>
    <row r="32" spans="1:1">
      <c r="A32" t="s">
        <v>293</v>
      </c>
    </row>
    <row r="33" spans="1:1">
      <c r="A33" t="s">
        <v>152</v>
      </c>
    </row>
    <row r="35" spans="1:1">
      <c r="A35" t="s">
        <v>294</v>
      </c>
    </row>
    <row r="36" spans="1:1">
      <c r="A36" t="s">
        <v>295</v>
      </c>
    </row>
    <row r="37" spans="1:1">
      <c r="A37" t="s">
        <v>27</v>
      </c>
    </row>
    <row r="39" spans="1:1">
      <c r="A39" t="s">
        <v>260</v>
      </c>
    </row>
    <row r="40" spans="1:1">
      <c r="A40" t="s">
        <v>296</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1A3D58BFA042848829B1088A823DC8B" ma:contentTypeVersion="20" ma:contentTypeDescription="Een nieuw document maken." ma:contentTypeScope="" ma:versionID="d2a07a730d129c99d6a8dd61cef19e15">
  <xsd:schema xmlns:xsd="http://www.w3.org/2001/XMLSchema" xmlns:xs="http://www.w3.org/2001/XMLSchema" xmlns:p="http://schemas.microsoft.com/office/2006/metadata/properties" xmlns:ns2="c53c0aff-5ed5-4054-b6cd-185ee86e9eb0" xmlns:ns3="3c3f66a2-0fdf-4acb-8d1e-a8cda8fd1d69" xmlns:ns4="3f990481-ab93-40a5-af1d-fa0a4386ebd9" targetNamespace="http://schemas.microsoft.com/office/2006/metadata/properties" ma:root="true" ma:fieldsID="babd0d798bda180ff0ba8365d66cc6ea" ns2:_="" ns3:_="" ns4:_="">
    <xsd:import namespace="c53c0aff-5ed5-4054-b6cd-185ee86e9eb0"/>
    <xsd:import namespace="3c3f66a2-0fdf-4acb-8d1e-a8cda8fd1d69"/>
    <xsd:import namespace="3f990481-ab93-40a5-af1d-fa0a4386ebd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Semester1" minOccurs="0"/>
                <xsd:element ref="ns2:Semester2"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Location" minOccurs="0"/>
                <xsd:element ref="ns2:MediaLengthInSecond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3c0aff-5ed5-4054-b6cd-185ee86e9e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Semester1" ma:index="13" nillable="true" ma:displayName="Semester 1" ma:default="1" ma:format="Dropdown" ma:internalName="Semester1">
      <xsd:simpleType>
        <xsd:restriction base="dms:Boolean"/>
      </xsd:simpleType>
    </xsd:element>
    <xsd:element name="Semester2" ma:index="14" nillable="true" ma:displayName="Semester 2" ma:default="1" ma:format="Dropdown" ma:internalName="Semester2">
      <xsd:simpleType>
        <xsd:restriction base="dms:Boolean"/>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Afbeeldingtags" ma:readOnly="false" ma:fieldId="{5cf76f15-5ced-4ddc-b409-7134ff3c332f}" ma:taxonomyMulti="true" ma:sspId="49b243c3-5758-488d-a165-3d321439e89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c3f66a2-0fdf-4acb-8d1e-a8cda8fd1d69" elementFormDefault="qualified">
    <xsd:import namespace="http://schemas.microsoft.com/office/2006/documentManagement/types"/>
    <xsd:import namespace="http://schemas.microsoft.com/office/infopath/2007/PartnerControls"/>
    <xsd:element name="SharedWithUsers" ma:index="19"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Gedeeld met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f990481-ab93-40a5-af1d-fa0a4386ebd9"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804e92a9-fea2-4675-a53e-2b3e3f006ed6}" ma:internalName="TaxCatchAll" ma:showField="CatchAllData" ma:web="3c3f66a2-0fdf-4acb-8d1e-a8cda8fd1d6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0C1C9E5-7D64-4BA4-AB8D-19AEA75ADA64}"/>
</file>

<file path=customXml/itemProps2.xml><?xml version="1.0" encoding="utf-8"?>
<ds:datastoreItem xmlns:ds="http://schemas.openxmlformats.org/officeDocument/2006/customXml" ds:itemID="{1EA71B03-0BF1-419C-B044-3433FDEA767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Leen Van Vaerenbergh</dc:creator>
  <cp:keywords/>
  <dc:description/>
  <cp:lastModifiedBy>Jaro Peeters</cp:lastModifiedBy>
  <cp:revision/>
  <dcterms:created xsi:type="dcterms:W3CDTF">2018-07-25T12:43:00Z</dcterms:created>
  <dcterms:modified xsi:type="dcterms:W3CDTF">2024-09-16T14:35:58Z</dcterms:modified>
  <cp:category/>
  <cp:contentStatus/>
</cp:coreProperties>
</file>